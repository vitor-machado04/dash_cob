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istemasalexandriasolar-my.sharepoint.com/personal/hugo_favarin_alexandria_solar/Documents/"/>
    </mc:Choice>
  </mc:AlternateContent>
  <xr:revisionPtr revIDLastSave="4" documentId="8_{227FE3B8-8744-4AFF-91FB-86796175B28B}" xr6:coauthVersionLast="47" xr6:coauthVersionMax="47" xr10:uidLastSave="{ABB3A777-43BE-499A-83B4-0F5A204ED3EB}"/>
  <bookViews>
    <workbookView minimized="1" xWindow="1560" yWindow="1560" windowWidth="15375" windowHeight="7785" firstSheet="7" activeTab="7" xr2:uid="{00000000-000D-0000-FFFF-FFFF00000000}"/>
  </bookViews>
  <sheets>
    <sheet name="Soma dia - Agosto" sheetId="3" r:id="rId1"/>
    <sheet name="SOMA DIA" sheetId="1" r:id="rId2"/>
    <sheet name="Soma dia - Setembro" sheetId="4" r:id="rId3"/>
    <sheet name="Soma dia - Outubro" sheetId="5" r:id="rId4"/>
    <sheet name="Soma dia - Novembro" sheetId="6" r:id="rId5"/>
    <sheet name="Soma dia - Dezembro" sheetId="7" r:id="rId6"/>
    <sheet name="Soma dia - Janeiro - 2026" sheetId="10" r:id="rId7"/>
    <sheet name="Tendencia" sheetId="12" r:id="rId8"/>
    <sheet name="Diário Alexandria 01-2026" sheetId="11" r:id="rId9"/>
    <sheet name="Diário Alexandria" sheetId="8" r:id="rId10"/>
    <sheet name="Status Base" sheetId="9" r:id="rId11"/>
  </sheets>
  <definedNames>
    <definedName name="NativeTimeline_DT_ACION">#N/A</definedName>
    <definedName name="SegmentaçãodeDados_STATUS">#N/A</definedName>
  </definedNames>
  <calcPr calcId="191028"/>
  <pivotCaches>
    <pivotCache cacheId="297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2" l="1"/>
  <c r="D13" i="12"/>
  <c r="D14" i="12"/>
  <c r="D15" i="12"/>
  <c r="D11" i="12"/>
  <c r="D10" i="12"/>
  <c r="D9" i="12"/>
  <c r="D8" i="12"/>
  <c r="D7" i="12"/>
  <c r="D6" i="12"/>
  <c r="D5" i="12"/>
  <c r="D4" i="12"/>
  <c r="D3" i="12"/>
  <c r="D2" i="12"/>
  <c r="D101" i="6"/>
  <c r="K125" i="11"/>
  <c r="J125" i="11"/>
  <c r="K124" i="11"/>
  <c r="J124" i="11"/>
  <c r="K123" i="11"/>
  <c r="J123" i="11"/>
  <c r="K122" i="11"/>
  <c r="J122" i="11"/>
  <c r="K121" i="11"/>
  <c r="J121" i="11"/>
  <c r="K120" i="11"/>
  <c r="J120" i="11"/>
  <c r="K119" i="11"/>
  <c r="J119" i="11"/>
  <c r="K118" i="11"/>
  <c r="J118" i="11"/>
  <c r="K117" i="11"/>
  <c r="J117" i="11"/>
  <c r="K116" i="11"/>
  <c r="J116" i="11"/>
  <c r="K115" i="11"/>
  <c r="J115" i="11"/>
  <c r="K114" i="11"/>
  <c r="J114" i="11"/>
  <c r="K113" i="11"/>
  <c r="J113" i="11"/>
  <c r="K112" i="11"/>
  <c r="J112" i="11"/>
  <c r="K111" i="11"/>
  <c r="J111" i="11"/>
  <c r="K110" i="11"/>
  <c r="J110" i="11"/>
  <c r="K109" i="11"/>
  <c r="J109" i="11"/>
  <c r="K108" i="11"/>
  <c r="J108" i="11"/>
  <c r="K107" i="11"/>
  <c r="J107" i="11"/>
  <c r="K106" i="11"/>
  <c r="J106" i="11"/>
  <c r="K105" i="11"/>
  <c r="J105" i="11"/>
  <c r="K104" i="11"/>
  <c r="J104" i="11"/>
  <c r="K103" i="11"/>
  <c r="J103" i="11"/>
  <c r="K102" i="11"/>
  <c r="J102" i="11"/>
  <c r="K101" i="11"/>
  <c r="J101" i="11"/>
  <c r="K100" i="11"/>
  <c r="J100" i="11"/>
  <c r="K99" i="11"/>
  <c r="J99" i="11"/>
  <c r="K98" i="11"/>
  <c r="J98" i="11"/>
  <c r="K97" i="11"/>
  <c r="J97" i="11"/>
  <c r="K96" i="11"/>
  <c r="J96" i="11"/>
  <c r="K95" i="11"/>
  <c r="J95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5" i="11"/>
  <c r="J85" i="11"/>
  <c r="K84" i="11"/>
  <c r="J84" i="11"/>
  <c r="K83" i="11"/>
  <c r="J83" i="11"/>
  <c r="K82" i="11"/>
  <c r="J82" i="11"/>
  <c r="K81" i="11"/>
  <c r="J81" i="11"/>
  <c r="K80" i="11"/>
  <c r="J80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C85" i="10"/>
  <c r="B85" i="10"/>
  <c r="D76" i="10"/>
  <c r="D75" i="10"/>
  <c r="D74" i="10"/>
  <c r="D73" i="10"/>
  <c r="D72" i="10"/>
  <c r="C67" i="10"/>
  <c r="B67" i="10"/>
  <c r="D64" i="10"/>
  <c r="D63" i="10"/>
  <c r="D62" i="10"/>
  <c r="D61" i="10"/>
  <c r="D60" i="10"/>
  <c r="D59" i="10"/>
  <c r="D58" i="10"/>
  <c r="D57" i="10"/>
  <c r="D56" i="10"/>
  <c r="D55" i="10"/>
  <c r="C161" i="7"/>
  <c r="C158" i="7"/>
  <c r="C155" i="7"/>
  <c r="C152" i="7"/>
  <c r="C149" i="7"/>
  <c r="C146" i="7"/>
  <c r="C143" i="7"/>
  <c r="C140" i="7"/>
  <c r="C137" i="7"/>
  <c r="C134" i="7"/>
  <c r="D73" i="7"/>
  <c r="C131" i="7"/>
  <c r="C128" i="7"/>
  <c r="B18" i="9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J44" i="8"/>
  <c r="K43" i="8"/>
  <c r="J43" i="8"/>
  <c r="K42" i="8"/>
  <c r="J41" i="8"/>
  <c r="K39" i="8"/>
  <c r="J37" i="8"/>
  <c r="K36" i="8"/>
  <c r="J35" i="8"/>
  <c r="K34" i="8"/>
  <c r="J33" i="8"/>
  <c r="K32" i="8"/>
  <c r="J31" i="8"/>
  <c r="K29" i="8"/>
  <c r="K27" i="8"/>
  <c r="K25" i="8"/>
  <c r="K23" i="8"/>
  <c r="J22" i="8"/>
  <c r="K21" i="8"/>
  <c r="J20" i="8"/>
  <c r="K19" i="8"/>
  <c r="K18" i="8"/>
  <c r="J17" i="8"/>
  <c r="J16" i="8"/>
  <c r="K15" i="8"/>
  <c r="K14" i="8"/>
  <c r="J13" i="8"/>
  <c r="J12" i="8"/>
  <c r="K11" i="8"/>
  <c r="K10" i="8"/>
  <c r="J9" i="8"/>
  <c r="J8" i="8"/>
  <c r="K7" i="8"/>
  <c r="K6" i="8"/>
  <c r="D67" i="10" l="1"/>
  <c r="D85" i="10"/>
  <c r="J24" i="8"/>
  <c r="J26" i="8"/>
  <c r="J28" i="8"/>
  <c r="J30" i="8"/>
  <c r="J38" i="8"/>
  <c r="J40" i="8"/>
  <c r="K41" i="8"/>
  <c r="K44" i="8"/>
  <c r="K9" i="8"/>
  <c r="K13" i="8"/>
  <c r="K17" i="8"/>
  <c r="K22" i="8"/>
  <c r="K26" i="8"/>
  <c r="K30" i="8"/>
  <c r="K33" i="8"/>
  <c r="K37" i="8"/>
  <c r="K40" i="8"/>
  <c r="J60" i="8"/>
  <c r="J64" i="8"/>
  <c r="J68" i="8"/>
  <c r="J72" i="8"/>
  <c r="J76" i="8"/>
  <c r="J80" i="8"/>
  <c r="J82" i="8"/>
  <c r="J84" i="8"/>
  <c r="J86" i="8"/>
  <c r="J88" i="8"/>
  <c r="J90" i="8"/>
  <c r="J92" i="8"/>
  <c r="J94" i="8"/>
  <c r="J96" i="8"/>
  <c r="J98" i="8"/>
  <c r="J100" i="8"/>
  <c r="J102" i="8"/>
  <c r="J104" i="8"/>
  <c r="J106" i="8"/>
  <c r="K8" i="8"/>
  <c r="K12" i="8"/>
  <c r="K16" i="8"/>
  <c r="K20" i="8"/>
  <c r="K24" i="8"/>
  <c r="K28" i="8"/>
  <c r="K31" i="8"/>
  <c r="K35" i="8"/>
  <c r="K38" i="8"/>
  <c r="J62" i="8"/>
  <c r="K66" i="8"/>
  <c r="J66" i="8"/>
  <c r="J70" i="8"/>
  <c r="J74" i="8"/>
  <c r="J78" i="8"/>
  <c r="J6" i="8"/>
  <c r="J7" i="8"/>
  <c r="J10" i="8"/>
  <c r="J11" i="8"/>
  <c r="J14" i="8"/>
  <c r="J15" i="8"/>
  <c r="J18" i="8"/>
  <c r="J19" i="8"/>
  <c r="J21" i="8"/>
  <c r="J23" i="8"/>
  <c r="J25" i="8"/>
  <c r="J27" i="8"/>
  <c r="J29" i="8"/>
  <c r="J32" i="8"/>
  <c r="J34" i="8"/>
  <c r="J36" i="8"/>
  <c r="J39" i="8"/>
  <c r="J42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111" i="8"/>
  <c r="J59" i="8"/>
  <c r="J61" i="8"/>
  <c r="J63" i="8"/>
  <c r="J65" i="8"/>
  <c r="J67" i="8"/>
  <c r="J69" i="8"/>
  <c r="J71" i="8"/>
  <c r="J73" i="8"/>
  <c r="J75" i="8"/>
  <c r="J77" i="8"/>
  <c r="J79" i="8"/>
  <c r="J81" i="8"/>
  <c r="J83" i="8"/>
  <c r="J85" i="8"/>
  <c r="J87" i="8"/>
  <c r="J89" i="8"/>
  <c r="J91" i="8"/>
  <c r="J93" i="8"/>
  <c r="J95" i="8"/>
  <c r="J97" i="8"/>
  <c r="J99" i="8"/>
  <c r="J101" i="8"/>
  <c r="J103" i="8"/>
  <c r="J105" i="8"/>
  <c r="J107" i="8"/>
  <c r="J109" i="8"/>
  <c r="J108" i="8"/>
  <c r="J110" i="8"/>
  <c r="J112" i="8"/>
  <c r="J114" i="8"/>
  <c r="J116" i="8"/>
  <c r="J118" i="8"/>
  <c r="J113" i="8"/>
  <c r="J115" i="8"/>
  <c r="J117" i="8"/>
  <c r="J119" i="8"/>
  <c r="K81" i="8" l="1"/>
  <c r="K77" i="8"/>
  <c r="K73" i="8"/>
  <c r="K69" i="8"/>
  <c r="K65" i="8"/>
  <c r="K61" i="8"/>
  <c r="K111" i="8"/>
  <c r="K74" i="8"/>
  <c r="K85" i="8"/>
  <c r="K75" i="8"/>
  <c r="K71" i="8"/>
  <c r="K67" i="8"/>
  <c r="K63" i="8"/>
  <c r="K59" i="8"/>
  <c r="K78" i="8"/>
  <c r="K70" i="8"/>
  <c r="K62" i="8"/>
  <c r="K104" i="8"/>
  <c r="K100" i="8"/>
  <c r="K96" i="8"/>
  <c r="K92" i="8"/>
  <c r="K88" i="8"/>
  <c r="K84" i="8"/>
  <c r="K80" i="8"/>
  <c r="K72" i="8"/>
  <c r="K64" i="8"/>
  <c r="K119" i="8"/>
  <c r="K115" i="8"/>
  <c r="K118" i="8"/>
  <c r="K114" i="8"/>
  <c r="K110" i="8"/>
  <c r="K109" i="8"/>
  <c r="K105" i="8"/>
  <c r="K101" i="8"/>
  <c r="K97" i="8"/>
  <c r="K93" i="8"/>
  <c r="K89" i="8"/>
  <c r="K106" i="8"/>
  <c r="K102" i="8"/>
  <c r="K98" i="8"/>
  <c r="K94" i="8"/>
  <c r="K90" i="8"/>
  <c r="K86" i="8"/>
  <c r="K82" i="8"/>
  <c r="K76" i="8"/>
  <c r="K68" i="8"/>
  <c r="K60" i="8"/>
  <c r="K117" i="8"/>
  <c r="K113" i="8"/>
  <c r="K116" i="8"/>
  <c r="K112" i="8"/>
  <c r="K108" i="8"/>
  <c r="K107" i="8"/>
  <c r="K103" i="8"/>
  <c r="K99" i="8"/>
  <c r="K95" i="8"/>
  <c r="K91" i="8"/>
  <c r="K87" i="8"/>
  <c r="K83" i="8"/>
  <c r="K79" i="8"/>
  <c r="C125" i="7" l="1"/>
  <c r="C122" i="7"/>
  <c r="C119" i="7"/>
  <c r="D57" i="7"/>
  <c r="C116" i="7"/>
  <c r="D61" i="7"/>
  <c r="C113" i="7"/>
  <c r="C110" i="7"/>
  <c r="B75" i="7"/>
  <c r="C75" i="7"/>
  <c r="D69" i="7"/>
  <c r="D70" i="7"/>
  <c r="D71" i="7"/>
  <c r="D72" i="7"/>
  <c r="B64" i="7"/>
  <c r="C64" i="7"/>
  <c r="D64" i="7" s="1"/>
  <c r="D52" i="7"/>
  <c r="D53" i="7"/>
  <c r="D54" i="7"/>
  <c r="D55" i="7"/>
  <c r="D56" i="7"/>
  <c r="D58" i="7"/>
  <c r="D59" i="7"/>
  <c r="D60" i="7"/>
  <c r="C166" i="6"/>
  <c r="C163" i="6"/>
  <c r="D75" i="7" l="1"/>
  <c r="C72" i="6"/>
  <c r="B72" i="6"/>
  <c r="C160" i="6"/>
  <c r="C157" i="6"/>
  <c r="C154" i="6"/>
  <c r="C151" i="6" l="1"/>
  <c r="C148" i="6"/>
  <c r="D58" i="6"/>
  <c r="C145" i="6"/>
  <c r="C142" i="6" l="1"/>
  <c r="C139" i="6"/>
  <c r="C136" i="6"/>
  <c r="C133" i="6"/>
  <c r="C130" i="6"/>
  <c r="C127" i="6"/>
  <c r="C124" i="6"/>
  <c r="C121" i="6"/>
  <c r="C118" i="6"/>
  <c r="C115" i="6"/>
  <c r="D67" i="6" l="1"/>
  <c r="D70" i="6"/>
  <c r="D69" i="6"/>
  <c r="D68" i="6"/>
  <c r="C111" i="6"/>
  <c r="C109" i="6"/>
  <c r="C60" i="6"/>
  <c r="E97" i="6" s="1"/>
  <c r="B60" i="6"/>
  <c r="D97" i="6" s="1"/>
  <c r="D57" i="6"/>
  <c r="D56" i="6"/>
  <c r="D55" i="6"/>
  <c r="D54" i="6"/>
  <c r="D53" i="6"/>
  <c r="D52" i="6"/>
  <c r="D51" i="6"/>
  <c r="D50" i="6"/>
  <c r="C172" i="5"/>
  <c r="C84" i="5"/>
  <c r="C169" i="5"/>
  <c r="C83" i="5"/>
  <c r="C166" i="5"/>
  <c r="C82" i="5"/>
  <c r="C163" i="5"/>
  <c r="C81" i="5"/>
  <c r="C160" i="5"/>
  <c r="C80" i="5"/>
  <c r="C51" i="5"/>
  <c r="C157" i="5"/>
  <c r="C79" i="5"/>
  <c r="C78" i="5"/>
  <c r="C77" i="5"/>
  <c r="C76" i="5"/>
  <c r="C154" i="5"/>
  <c r="D72" i="6" l="1"/>
  <c r="E98" i="6"/>
  <c r="D60" i="6"/>
  <c r="C150" i="5"/>
  <c r="C75" i="5"/>
  <c r="C144" i="5"/>
  <c r="C141" i="5"/>
  <c r="C138" i="5"/>
  <c r="C135" i="5"/>
  <c r="C133" i="5"/>
  <c r="C130" i="5"/>
  <c r="C127" i="5"/>
  <c r="C123" i="5"/>
  <c r="C120" i="5"/>
  <c r="C117" i="5"/>
  <c r="C114" i="5"/>
  <c r="C111" i="5"/>
  <c r="C108" i="5"/>
  <c r="B59" i="5" l="1"/>
  <c r="A59" i="5"/>
  <c r="C90" i="5" s="1"/>
  <c r="C147" i="5" s="1"/>
  <c r="C57" i="5"/>
  <c r="C56" i="5"/>
  <c r="C55" i="5"/>
  <c r="C54" i="5"/>
  <c r="C53" i="5"/>
  <c r="C52" i="5"/>
  <c r="C50" i="5"/>
  <c r="D58" i="4"/>
  <c r="D151" i="4"/>
  <c r="C151" i="4"/>
  <c r="D148" i="4"/>
  <c r="C148" i="4"/>
  <c r="D90" i="5" l="1"/>
  <c r="C59" i="5"/>
  <c r="D145" i="4"/>
  <c r="C145" i="4"/>
  <c r="D142" i="4"/>
  <c r="C142" i="4"/>
  <c r="D57" i="4"/>
  <c r="D56" i="4"/>
  <c r="D55" i="4"/>
  <c r="D54" i="4"/>
  <c r="D53" i="4"/>
  <c r="D51" i="4"/>
  <c r="D52" i="4"/>
  <c r="D139" i="4"/>
  <c r="C139" i="4"/>
  <c r="D136" i="4"/>
  <c r="C136" i="4"/>
  <c r="D133" i="4"/>
  <c r="C133" i="4"/>
  <c r="D130" i="4"/>
  <c r="D127" i="4"/>
  <c r="D124" i="4"/>
  <c r="D121" i="4"/>
  <c r="D118" i="4"/>
  <c r="D115" i="4"/>
  <c r="D112" i="4"/>
  <c r="D109" i="4"/>
  <c r="D106" i="4"/>
  <c r="D103" i="4"/>
  <c r="D100" i="4"/>
  <c r="D97" i="4"/>
  <c r="D94" i="4"/>
  <c r="D91" i="4"/>
  <c r="D88" i="4"/>
  <c r="D85" i="4"/>
  <c r="C130" i="4"/>
  <c r="D91" i="5" l="1"/>
  <c r="C127" i="4"/>
  <c r="C124" i="4"/>
  <c r="C121" i="4"/>
  <c r="C118" i="4"/>
  <c r="E74" i="4" l="1"/>
  <c r="C115" i="4"/>
  <c r="C112" i="4"/>
  <c r="C109" i="4"/>
  <c r="C106" i="4" l="1"/>
  <c r="C103" i="4" l="1"/>
  <c r="C100" i="4"/>
  <c r="B60" i="4"/>
  <c r="C97" i="4"/>
  <c r="C60" i="4"/>
  <c r="C94" i="4"/>
  <c r="C91" i="4"/>
  <c r="C88" i="4" l="1"/>
  <c r="C85" i="4" l="1"/>
  <c r="C82" i="4"/>
  <c r="B161" i="4" l="1"/>
  <c r="C160" i="4" s="1"/>
  <c r="B100" i="3"/>
  <c r="B50" i="3"/>
  <c r="D60" i="4" l="1"/>
  <c r="D59" i="3"/>
  <c r="C50" i="3"/>
  <c r="D50" i="3" l="1"/>
  <c r="D49" i="3"/>
  <c r="D48" i="3"/>
  <c r="D47" i="3"/>
  <c r="D46" i="3"/>
  <c r="D45" i="3"/>
  <c r="D44" i="3"/>
  <c r="E65" i="3" l="1"/>
</calcChain>
</file>

<file path=xl/sharedStrings.xml><?xml version="1.0" encoding="utf-8"?>
<sst xmlns="http://schemas.openxmlformats.org/spreadsheetml/2006/main" count="487" uniqueCount="87">
  <si>
    <t>Inadimplentes Mês /2025</t>
  </si>
  <si>
    <t>%</t>
  </si>
  <si>
    <t>março</t>
  </si>
  <si>
    <t>abril</t>
  </si>
  <si>
    <t>maio</t>
  </si>
  <si>
    <t>junho</t>
  </si>
  <si>
    <t>julho</t>
  </si>
  <si>
    <t>Inadimplência Global</t>
  </si>
  <si>
    <t>Inadimplência Diária - Agosto</t>
  </si>
  <si>
    <t>Valor</t>
  </si>
  <si>
    <t>Dia</t>
  </si>
  <si>
    <t>Emitido</t>
  </si>
  <si>
    <t>Inadimplente</t>
  </si>
  <si>
    <t>Inadimplência Geral</t>
  </si>
  <si>
    <t>Valor Total Indimplência Hoje</t>
  </si>
  <si>
    <t>Emitido C/Concessionária</t>
  </si>
  <si>
    <t>Total Inadimplência</t>
  </si>
  <si>
    <t>Emissão</t>
  </si>
  <si>
    <t>Fatura emitidas agosto/2025</t>
  </si>
  <si>
    <t>Setembro</t>
  </si>
  <si>
    <t>Outubro</t>
  </si>
  <si>
    <t>DIA</t>
  </si>
  <si>
    <t>VALOR_INADIMPLÊNCIA</t>
  </si>
  <si>
    <t>Faturas Novas</t>
  </si>
  <si>
    <t>DIA_MES_ANTERIOR</t>
  </si>
  <si>
    <t>VALOR_MES_ANTERIOR</t>
  </si>
  <si>
    <t>META</t>
  </si>
  <si>
    <t>ATUAL</t>
  </si>
  <si>
    <t>novas</t>
  </si>
  <si>
    <t xml:space="preserve">novas </t>
  </si>
  <si>
    <t>agosto</t>
  </si>
  <si>
    <t>Inadimplência Diária - Setembro</t>
  </si>
  <si>
    <t>Faturas emitidas</t>
  </si>
  <si>
    <t>Inadimplentes</t>
  </si>
  <si>
    <t>Fatura emitidas Setembro/2025</t>
  </si>
  <si>
    <t>30/09/20255</t>
  </si>
  <si>
    <t>Novembro</t>
  </si>
  <si>
    <t>Inadimplência Diária - Outubro</t>
  </si>
  <si>
    <t xml:space="preserve"> </t>
  </si>
  <si>
    <t xml:space="preserve">Inadimplência Diária </t>
  </si>
  <si>
    <t>Inadimplência Geral- Sem Usina Alexandria</t>
  </si>
  <si>
    <t>Mês/Ref</t>
  </si>
  <si>
    <t>Total:</t>
  </si>
  <si>
    <t>Usinas Alexandria</t>
  </si>
  <si>
    <t>,</t>
  </si>
  <si>
    <t>Inadimplentes Usinasw AlexandriaMês /2025</t>
  </si>
  <si>
    <t>setembro</t>
  </si>
  <si>
    <t>outubro</t>
  </si>
  <si>
    <t>novembro</t>
  </si>
  <si>
    <t>dezembro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</si>
  <si>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</si>
  <si>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</si>
  <si>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</si>
  <si>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</si>
  <si>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</si>
  <si>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</si>
  <si>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</si>
  <si>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</si>
  <si>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</si>
  <si>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DATA</t>
  </si>
  <si>
    <t>FAIXA ATRASO</t>
  </si>
  <si>
    <t>BASE</t>
  </si>
  <si>
    <t xml:space="preserve">VALOR </t>
  </si>
  <si>
    <t>ACIONAMENTOS</t>
  </si>
  <si>
    <t>CPC</t>
  </si>
  <si>
    <t>PGTO DIRETOS</t>
  </si>
  <si>
    <t>VLR PG DIRETO</t>
  </si>
  <si>
    <t>% CPC</t>
  </si>
  <si>
    <t>%TX_CONV</t>
  </si>
  <si>
    <t>0 a 30</t>
  </si>
  <si>
    <t>31 a 60</t>
  </si>
  <si>
    <t>61 a 90</t>
  </si>
  <si>
    <t>91 a 120</t>
  </si>
  <si>
    <t>121 a 180</t>
  </si>
  <si>
    <t>&gt;180</t>
  </si>
  <si>
    <t>FASE</t>
  </si>
  <si>
    <t>ATI</t>
  </si>
  <si>
    <t>STATUS BASE</t>
  </si>
  <si>
    <t>VOLUME</t>
  </si>
  <si>
    <t>Em Negociação</t>
  </si>
  <si>
    <t>Sem Interesse</t>
  </si>
  <si>
    <t>Sem Condições</t>
  </si>
  <si>
    <t>Sem Contato</t>
  </si>
  <si>
    <t>Não Localizado</t>
  </si>
  <si>
    <t>Falecido</t>
  </si>
  <si>
    <t>Total Geral</t>
  </si>
  <si>
    <t>Representatividade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</si>
</sst>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scheme val="major"/>
    </font>
    <font>
      <b/>
      <sz val="11"/>
      <color theme="1"/>
      <name val="Calibri Light"/>
      <scheme val="maj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rgb="FF242424"/>
      <name val="Calibri Light"/>
      <family val="2"/>
      <scheme val="major"/>
    </font>
    <font>
      <b/>
      <i/>
      <sz val="12"/>
      <name val="Calibri Light"/>
      <family val="2"/>
      <scheme val="major"/>
    </font>
    <font>
      <b/>
      <i/>
      <sz val="11"/>
      <color theme="1"/>
      <name val="Calibri"/>
      <family val="2"/>
      <scheme val="minor"/>
    </font>
    <font>
      <b/>
      <sz val="13"/>
      <color theme="9" tint="-0.499984740745262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  <font>
      <sz val="20"/>
      <color theme="9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theme="9" tint="-0.49998474074526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4">
    <xf numFmtId="0" fontId="0" fillId="0" borderId="0" xfId="0"/>
    <xf numFmtId="4" fontId="0" fillId="0" borderId="0" xfId="0" applyNumberFormat="1"/>
    <xf numFmtId="1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0" fontId="1" fillId="0" borderId="0" xfId="0" applyNumberFormat="1" applyFont="1"/>
    <xf numFmtId="10" fontId="0" fillId="0" borderId="0" xfId="1" applyNumberFormat="1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3" fillId="0" borderId="0" xfId="0" applyNumberFormat="1" applyFont="1"/>
    <xf numFmtId="10" fontId="3" fillId="0" borderId="0" xfId="1" applyNumberFormat="1" applyFont="1"/>
    <xf numFmtId="10" fontId="4" fillId="0" borderId="0" xfId="1" applyNumberFormat="1" applyFont="1"/>
    <xf numFmtId="8" fontId="0" fillId="0" borderId="0" xfId="0" applyNumberFormat="1"/>
    <xf numFmtId="17" fontId="0" fillId="0" borderId="0" xfId="0" applyNumberFormat="1"/>
    <xf numFmtId="165" fontId="0" fillId="0" borderId="0" xfId="1" applyNumberFormat="1" applyFont="1"/>
    <xf numFmtId="164" fontId="1" fillId="0" borderId="0" xfId="0" applyNumberFormat="1" applyFont="1"/>
    <xf numFmtId="14" fontId="3" fillId="0" borderId="0" xfId="0" applyNumberFormat="1" applyFont="1"/>
    <xf numFmtId="4" fontId="1" fillId="0" borderId="0" xfId="0" applyNumberFormat="1" applyFont="1"/>
    <xf numFmtId="10" fontId="1" fillId="0" borderId="0" xfId="1" applyNumberFormat="1" applyFont="1"/>
    <xf numFmtId="0" fontId="1" fillId="0" borderId="0" xfId="0" applyFont="1" applyAlignment="1">
      <alignment horizontal="center" vertical="top"/>
    </xf>
    <xf numFmtId="0" fontId="5" fillId="0" borderId="0" xfId="0" applyFont="1"/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10" fontId="6" fillId="0" borderId="0" xfId="1" applyNumberFormat="1" applyFont="1"/>
    <xf numFmtId="164" fontId="5" fillId="0" borderId="0" xfId="0" applyNumberFormat="1" applyFont="1"/>
    <xf numFmtId="0" fontId="10" fillId="0" borderId="0" xfId="0" applyFont="1"/>
    <xf numFmtId="0" fontId="12" fillId="2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0" borderId="2" xfId="2" applyNumberFormat="1" applyFont="1" applyBorder="1" applyAlignment="1">
      <alignment horizontal="center" vertical="center"/>
    </xf>
    <xf numFmtId="164" fontId="10" fillId="0" borderId="2" xfId="2" applyNumberFormat="1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14" fillId="5" borderId="0" xfId="0" applyFont="1" applyFill="1" applyAlignment="1">
      <alignment horizontal="center"/>
    </xf>
    <xf numFmtId="9" fontId="7" fillId="5" borderId="0" xfId="1" applyFont="1" applyFill="1" applyAlignment="1">
      <alignment vertical="center"/>
    </xf>
    <xf numFmtId="0" fontId="0" fillId="0" borderId="3" xfId="0" pivotButton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165" fontId="16" fillId="7" borderId="0" xfId="1" applyNumberFormat="1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Porcentagem" xfId="1" builtinId="5"/>
  </cellStyles>
  <dxfs count="23">
    <dxf>
      <alignment horizontal="center"/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i/>
      </font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Diária - Agosto/2025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4054943896195731E-3"/>
                  <c:y val="-1.500872693877059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DE-47A8-A01C-8A7F352644A6}"/>
                </c:ext>
              </c:extLst>
            </c:dLbl>
            <c:dLbl>
              <c:idx val="1"/>
              <c:layout>
                <c:manualLayout>
                  <c:x val="-2.834504246189189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CDE-47A8-A01C-8A7F352644A6}"/>
                </c:ext>
              </c:extLst>
            </c:dLbl>
            <c:dLbl>
              <c:idx val="2"/>
              <c:layout>
                <c:manualLayout>
                  <c:x val="-2.8345042461892836E-3"/>
                  <c:y val="-3.00910217868486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DE-47A8-A01C-8A7F352644A6}"/>
                </c:ext>
              </c:extLst>
            </c:dLbl>
            <c:dLbl>
              <c:idx val="3"/>
              <c:layout>
                <c:manualLayout>
                  <c:x val="-2.634794326618741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DE-47A8-A01C-8A7F352644A6}"/>
                </c:ext>
              </c:extLst>
            </c:dLbl>
            <c:dLbl>
              <c:idx val="4"/>
              <c:layout>
                <c:manualLayout>
                  <c:x val="-2.634794326618741E-4"/>
                  <c:y val="-6.0182043573695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DE-47A8-A01C-8A7F352644A6}"/>
                </c:ext>
              </c:extLst>
            </c:dLbl>
            <c:dLbl>
              <c:idx val="5"/>
              <c:layout>
                <c:manualLayout>
                  <c:x val="-1.5489918394255319E-3"/>
                  <c:y val="-3.00910217868475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DE-47A8-A01C-8A7F352644A6}"/>
                </c:ext>
              </c:extLst>
            </c:dLbl>
            <c:dLbl>
              <c:idx val="6"/>
              <c:layout>
                <c:manualLayout>
                  <c:x val="-1.5489918394255319E-3"/>
                  <c:y val="-6.0182043573695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DE-47A8-A01C-8A7F352644A6}"/>
                </c:ext>
              </c:extLst>
            </c:dLbl>
            <c:dLbl>
              <c:idx val="7"/>
              <c:layout>
                <c:manualLayout>
                  <c:x val="-2.8345042461891895E-3"/>
                  <c:y val="-3.00910217868480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DE-47A8-A01C-8A7F352644A6}"/>
                </c:ext>
              </c:extLst>
            </c:dLbl>
            <c:dLbl>
              <c:idx val="8"/>
              <c:layout>
                <c:manualLayout>
                  <c:x val="-2.634794326618741E-4"/>
                  <c:y val="-6.0182043573695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DE-47A8-A01C-8A7F352644A6}"/>
                </c:ext>
              </c:extLst>
            </c:dLbl>
            <c:dLbl>
              <c:idx val="9"/>
              <c:layout>
                <c:manualLayout>
                  <c:x val="-2.6347943266196838E-4"/>
                  <c:y val="-3.00910217868475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DE-47A8-A01C-8A7F352644A6}"/>
                </c:ext>
              </c:extLst>
            </c:dLbl>
            <c:dLbl>
              <c:idx val="10"/>
              <c:layout>
                <c:manualLayout>
                  <c:x val="-2.6347943266206265E-4"/>
                  <c:y val="-6.0182043573695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DE-47A8-A01C-8A7F352644A6}"/>
                </c:ext>
              </c:extLst>
            </c:dLbl>
            <c:dLbl>
              <c:idx val="11"/>
              <c:layout>
                <c:manualLayout>
                  <c:x val="1.0220329741017836E-3"/>
                  <c:y val="-6.0182043573695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DE-47A8-A01C-8A7F352644A6}"/>
                </c:ext>
              </c:extLst>
            </c:dLbl>
            <c:dLbl>
              <c:idx val="12"/>
              <c:layout>
                <c:manualLayout>
                  <c:x val="-2.8345042461892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DE-47A8-A01C-8A7F352644A6}"/>
                </c:ext>
              </c:extLst>
            </c:dLbl>
            <c:dLbl>
              <c:idx val="13"/>
              <c:layout>
                <c:manualLayout>
                  <c:x val="-4.1048397637076482E-3"/>
                  <c:y val="2.67403718343452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A8-4B84-84CA-3EC2DFB1F6B9}"/>
                </c:ext>
              </c:extLst>
            </c:dLbl>
            <c:dLbl>
              <c:idx val="14"/>
              <c:layout>
                <c:manualLayout>
                  <c:x val="-2.7320724998752097E-3"/>
                  <c:y val="-2.448226443484007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A8-4B84-84CA-3EC2DFB1F6B9}"/>
                </c:ext>
              </c:extLst>
            </c:dLbl>
            <c:dLbl>
              <c:idx val="15"/>
              <c:layout>
                <c:manualLayout>
                  <c:x val="-5.790604004140475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A8-4B84-84CA-3EC2DFB1F6B9}"/>
                </c:ext>
              </c:extLst>
            </c:dLbl>
            <c:dLbl>
              <c:idx val="16"/>
              <c:layout>
                <c:manualLayout>
                  <c:x val="-4.412712175579733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A8-4B84-84CA-3EC2DFB1F6B9}"/>
                </c:ext>
              </c:extLst>
            </c:dLbl>
            <c:dLbl>
              <c:idx val="17"/>
              <c:layout>
                <c:manualLayout>
                  <c:x val="-4.4127121755796316E-3"/>
                  <c:y val="3.111440275903875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A8-4B84-84CA-3EC2DFB1F6B9}"/>
                </c:ext>
              </c:extLst>
            </c:dLbl>
            <c:dLbl>
              <c:idx val="18"/>
              <c:layout>
                <c:manualLayout>
                  <c:x val="-5.789516534607379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3D-4ACB-BFA5-38A4379FE853}"/>
                </c:ext>
              </c:extLst>
            </c:dLbl>
            <c:dLbl>
              <c:idx val="19"/>
              <c:layout>
                <c:manualLayout>
                  <c:x val="-5.8177733886680717E-3"/>
                  <c:y val="-2.570457972072576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D8-4AE8-96CF-ADCBDFC82BAD}"/>
                </c:ext>
              </c:extLst>
            </c:dLbl>
            <c:dLbl>
              <c:idx val="20"/>
              <c:layout>
                <c:manualLayout>
                  <c:x val="-2.8370117158560626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4-4609-B07A-D0182B9A7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Agosto'!$B$18:$B$38</c:f>
              <c:numCache>
                <c:formatCode>#,##0.00</c:formatCode>
                <c:ptCount val="21"/>
                <c:pt idx="0">
                  <c:v>137811.1</c:v>
                </c:pt>
                <c:pt idx="1">
                  <c:v>139781.35</c:v>
                </c:pt>
                <c:pt idx="2">
                  <c:v>139940.07</c:v>
                </c:pt>
                <c:pt idx="3">
                  <c:v>142622.43</c:v>
                </c:pt>
                <c:pt idx="4">
                  <c:v>142626.82999999999</c:v>
                </c:pt>
                <c:pt idx="5">
                  <c:v>143453.12</c:v>
                </c:pt>
                <c:pt idx="6">
                  <c:v>144395.71</c:v>
                </c:pt>
                <c:pt idx="7">
                  <c:v>146646.34</c:v>
                </c:pt>
                <c:pt idx="8">
                  <c:v>162609.68</c:v>
                </c:pt>
                <c:pt idx="9">
                  <c:v>165662.04999999999</c:v>
                </c:pt>
                <c:pt idx="10">
                  <c:v>167014.25</c:v>
                </c:pt>
                <c:pt idx="11">
                  <c:v>224206.62</c:v>
                </c:pt>
                <c:pt idx="12">
                  <c:v>224969.45</c:v>
                </c:pt>
                <c:pt idx="13">
                  <c:v>227784.65</c:v>
                </c:pt>
                <c:pt idx="14">
                  <c:v>230393.57</c:v>
                </c:pt>
                <c:pt idx="15">
                  <c:v>242772.97</c:v>
                </c:pt>
                <c:pt idx="16">
                  <c:v>242951.09</c:v>
                </c:pt>
                <c:pt idx="17">
                  <c:v>255345.88</c:v>
                </c:pt>
                <c:pt idx="18">
                  <c:v>286996.58</c:v>
                </c:pt>
                <c:pt idx="19">
                  <c:v>291647.33</c:v>
                </c:pt>
                <c:pt idx="20">
                  <c:v>301976.81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E-47A8-A01C-8A7F352644A6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Agosto'!$C$18:$C$38</c:f>
              <c:numCache>
                <c:formatCode>m/d/yyyy</c:formatCode>
                <c:ptCount val="21"/>
                <c:pt idx="0">
                  <c:v>45870</c:v>
                </c:pt>
                <c:pt idx="1">
                  <c:v>45873</c:v>
                </c:pt>
                <c:pt idx="2">
                  <c:v>45874</c:v>
                </c:pt>
                <c:pt idx="3">
                  <c:v>45875</c:v>
                </c:pt>
                <c:pt idx="4">
                  <c:v>45876</c:v>
                </c:pt>
                <c:pt idx="5">
                  <c:v>45877</c:v>
                </c:pt>
                <c:pt idx="6">
                  <c:v>45880</c:v>
                </c:pt>
                <c:pt idx="7">
                  <c:v>45881</c:v>
                </c:pt>
                <c:pt idx="8">
                  <c:v>45882</c:v>
                </c:pt>
                <c:pt idx="9">
                  <c:v>45883</c:v>
                </c:pt>
                <c:pt idx="10">
                  <c:v>45884</c:v>
                </c:pt>
                <c:pt idx="11">
                  <c:v>45887</c:v>
                </c:pt>
                <c:pt idx="12">
                  <c:v>45888</c:v>
                </c:pt>
                <c:pt idx="13">
                  <c:v>45889</c:v>
                </c:pt>
                <c:pt idx="14">
                  <c:v>45890</c:v>
                </c:pt>
                <c:pt idx="15">
                  <c:v>45891</c:v>
                </c:pt>
                <c:pt idx="16">
                  <c:v>45894</c:v>
                </c:pt>
                <c:pt idx="17">
                  <c:v>45895</c:v>
                </c:pt>
                <c:pt idx="18">
                  <c:v>45896</c:v>
                </c:pt>
                <c:pt idx="19">
                  <c:v>45897</c:v>
                </c:pt>
                <c:pt idx="20">
                  <c:v>45898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DE-47A8-A01C-8A7F352644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1133104"/>
        <c:axId val="771137424"/>
      </c:barChart>
      <c:catAx>
        <c:axId val="771133104"/>
        <c:scaling>
          <c:orientation val="minMax"/>
        </c:scaling>
        <c:delete val="1"/>
        <c:axPos val="l"/>
        <c:majorTickMark val="none"/>
        <c:minorTickMark val="none"/>
        <c:tickLblPos val="nextTo"/>
        <c:crossAx val="771137424"/>
        <c:crosses val="autoZero"/>
        <c:auto val="1"/>
        <c:lblAlgn val="ctr"/>
        <c:lblOffset val="100"/>
        <c:noMultiLvlLbl val="0"/>
      </c:catAx>
      <c:valAx>
        <c:axId val="771137424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7711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Mês /2025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Agosto'!$C$1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6.0115606936416181E-3"/>
                  <c:y val="0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68-452C-8311-6D6092387ECD}"/>
                </c:ext>
              </c:extLst>
            </c:dLbl>
            <c:dLbl>
              <c:idx val="1"/>
              <c:layout>
                <c:manualLayout>
                  <c:x val="-6.0115606936416892E-3"/>
                  <c:y val="-4.3859649122807015E-3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68-452C-8311-6D6092387ECD}"/>
                </c:ext>
              </c:extLst>
            </c:dLbl>
            <c:dLbl>
              <c:idx val="2"/>
              <c:layout>
                <c:manualLayout>
                  <c:x val="-2.1579961464354529E-3"/>
                  <c:y val="0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68-452C-8311-6D6092387ECD}"/>
                </c:ext>
              </c:extLst>
            </c:dLbl>
            <c:dLbl>
              <c:idx val="3"/>
              <c:layout>
                <c:manualLayout>
                  <c:x val="-4.0847784200385359E-3"/>
                  <c:y val="4.3859649122806217E-3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68-452C-8311-6D6092387ECD}"/>
                </c:ext>
              </c:extLst>
            </c:dLbl>
            <c:dLbl>
              <c:idx val="4"/>
              <c:layout>
                <c:manualLayout>
                  <c:x val="-6.0115606936416892E-3"/>
                  <c:y val="4.3859649122807015E-3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68-452C-8311-6D6092387ECD}"/>
                </c:ext>
              </c:extLst>
            </c:dLbl>
            <c:dLbl>
              <c:idx val="5"/>
              <c:layout>
                <c:manualLayout>
                  <c:x val="-2.312138728324406E-4"/>
                  <c:y val="0"/>
                </c:manualLayout>
              </c:layout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68-452C-8311-6D6092387ECD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Agosto'!$B$2:$B$7</c:f>
              <c:strCache>
                <c:ptCount val="5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</c:strCache>
            </c:strRef>
          </c:cat>
          <c:val>
            <c:numRef>
              <c:f>'Soma dia - Agosto'!$C$2:$C$7</c:f>
              <c:numCache>
                <c:formatCode>0.00%</c:formatCode>
                <c:ptCount val="6"/>
                <c:pt idx="0">
                  <c:v>0.13789999999999999</c:v>
                </c:pt>
                <c:pt idx="1">
                  <c:v>0.15590000000000001</c:v>
                </c:pt>
                <c:pt idx="2">
                  <c:v>0.17180000000000001</c:v>
                </c:pt>
                <c:pt idx="3">
                  <c:v>0.19159999999999999</c:v>
                </c:pt>
                <c:pt idx="4">
                  <c:v>0.15379999999999999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8-452C-8311-6D6092387E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7172752"/>
        <c:axId val="137173712"/>
      </c:barChart>
      <c:catAx>
        <c:axId val="13717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accent6">
              <a:lumMod val="40000"/>
              <a:lumOff val="60000"/>
            </a:schemeClr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73712"/>
        <c:crosses val="autoZero"/>
        <c:auto val="1"/>
        <c:lblAlgn val="ctr"/>
        <c:lblOffset val="100"/>
        <c:noMultiLvlLbl val="0"/>
      </c:catAx>
      <c:valAx>
        <c:axId val="13717371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3717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4.24661980903750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BB-4205-8879-8262D68E6859}"/>
                </c:ext>
              </c:extLst>
            </c:dLbl>
            <c:dLbl>
              <c:idx val="1"/>
              <c:layout>
                <c:manualLayout>
                  <c:x val="-0.13885237529280303"/>
                  <c:y val="4.62632482358388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BB-4205-8879-8262D68E6859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Agosto'!$D$63:$E$63</c:f>
              <c:strCache>
                <c:ptCount val="2"/>
                <c:pt idx="0">
                  <c:v>Total Inadimplência</c:v>
                </c:pt>
                <c:pt idx="1">
                  <c:v>Emissão</c:v>
                </c:pt>
              </c:strCache>
            </c:strRef>
          </c:cat>
          <c:val>
            <c:numRef>
              <c:f>'Soma dia - Agosto'!$D$64:$E$64</c:f>
              <c:numCache>
                <c:formatCode>"R$"\ #,##0.00</c:formatCode>
                <c:ptCount val="2"/>
                <c:pt idx="0">
                  <c:v>301976.81</c:v>
                </c:pt>
                <c:pt idx="1">
                  <c:v>1408906.69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B-4205-8879-8262D68E68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999504"/>
        <c:axId val="49002864"/>
      </c:barChart>
      <c:catAx>
        <c:axId val="4899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002864"/>
        <c:crosses val="autoZero"/>
        <c:auto val="1"/>
        <c:lblAlgn val="ctr"/>
        <c:lblOffset val="100"/>
        <c:noMultiLvlLbl val="0"/>
      </c:catAx>
      <c:valAx>
        <c:axId val="4900286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899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Diária - Setembro/2025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887010811633929E-2"/>
          <c:y val="0.13221825598576917"/>
          <c:w val="0.96649916247906198"/>
          <c:h val="0.848879941705055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'Soma dia - Setembro'!$B$20:$B$21</c:f>
              <c:strCache>
                <c:ptCount val="2"/>
                <c:pt idx="0">
                  <c:v>Inadimplência Diária - Setembro</c:v>
                </c:pt>
                <c:pt idx="1">
                  <c:v>Valor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3.3591721967113548E-3"/>
                  <c:y val="-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4A-4D1E-B1AF-3D7EE99A0D24}"/>
                </c:ext>
              </c:extLst>
            </c:dLbl>
            <c:dLbl>
              <c:idx val="1"/>
              <c:layout>
                <c:manualLayout>
                  <c:x val="-4.8826335007942307E-3"/>
                  <c:y val="-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4A-4D1E-B1AF-3D7EE99A0D24}"/>
                </c:ext>
              </c:extLst>
            </c:dLbl>
            <c:dLbl>
              <c:idx val="2"/>
              <c:layout>
                <c:manualLayout>
                  <c:x val="-6.4060948048769951E-3"/>
                  <c:y val="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95-4964-B7ED-8FB62383FE04}"/>
                </c:ext>
              </c:extLst>
            </c:dLbl>
            <c:dLbl>
              <c:idx val="3"/>
              <c:layout>
                <c:manualLayout>
                  <c:x val="-4.8826335007940078E-3"/>
                  <c:y val="-4.205809026737506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95-4964-B7ED-8FB62383FE04}"/>
                </c:ext>
              </c:extLst>
            </c:dLbl>
            <c:dLbl>
              <c:idx val="4"/>
              <c:layout>
                <c:manualLayout>
                  <c:x val="-4.8781744747661082E-3"/>
                  <c:y val="-4.255599245020610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84-4F30-87EC-1EDE2CD36CB3}"/>
                </c:ext>
              </c:extLst>
            </c:dLbl>
            <c:dLbl>
              <c:idx val="5"/>
              <c:layout>
                <c:manualLayout>
                  <c:x val="-6.4060948048769951E-3"/>
                  <c:y val="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84-4F30-87EC-1EDE2CD36CB3}"/>
                </c:ext>
              </c:extLst>
            </c:dLbl>
            <c:dLbl>
              <c:idx val="6"/>
              <c:layout>
                <c:manualLayout>
                  <c:x val="-3.35610445954529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84-4F30-87EC-1EDE2CD36CB3}"/>
                </c:ext>
              </c:extLst>
            </c:dLbl>
            <c:dLbl>
              <c:idx val="7"/>
              <c:layout>
                <c:manualLayout>
                  <c:x val="-4.882633500794118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A0-40A0-882E-9654D9C7BC7F}"/>
                </c:ext>
              </c:extLst>
            </c:dLbl>
            <c:dLbl>
              <c:idx val="8"/>
              <c:layout>
                <c:manualLayout>
                  <c:x val="-1.8357108926283666E-3"/>
                  <c:y val="-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82-4ADE-81EC-BE1168142B5B}"/>
                </c:ext>
              </c:extLst>
            </c:dLbl>
            <c:dLbl>
              <c:idx val="9"/>
              <c:layout>
                <c:manualLayout>
                  <c:x val="-3.359172196711242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82-4ADE-81EC-BE1168142B5B}"/>
                </c:ext>
              </c:extLst>
            </c:dLbl>
            <c:dLbl>
              <c:idx val="10"/>
              <c:layout>
                <c:manualLayout>
                  <c:x val="-4.883280636060282E-3"/>
                  <c:y val="-4.58822646919095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82-4ADE-81EC-BE1168142B5B}"/>
                </c:ext>
              </c:extLst>
            </c:dLbl>
            <c:dLbl>
              <c:idx val="11"/>
              <c:layout>
                <c:manualLayout>
                  <c:x val="-3.359172196711242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82-4ADE-81EC-BE1168142B5B}"/>
                </c:ext>
              </c:extLst>
            </c:dLbl>
            <c:dLbl>
              <c:idx val="12"/>
              <c:layout>
                <c:manualLayout>
                  <c:x val="-3.3591721967112429E-3"/>
                  <c:y val="-4.58820830465703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8C-4602-A36E-2546B9D819BC}"/>
                </c:ext>
              </c:extLst>
            </c:dLbl>
            <c:dLbl>
              <c:idx val="13"/>
              <c:layout>
                <c:manualLayout>
                  <c:x val="-3.3591721967112429E-3"/>
                  <c:y val="-4.58820830465707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58-4261-86DB-C59380A6F4F3}"/>
                </c:ext>
              </c:extLst>
            </c:dLbl>
            <c:dLbl>
              <c:idx val="14"/>
              <c:layout>
                <c:manualLayout>
                  <c:x val="-6.406094804876995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A7-4C46-ABD7-F995E04B76E5}"/>
                </c:ext>
              </c:extLst>
            </c:dLbl>
            <c:dLbl>
              <c:idx val="15"/>
              <c:layout>
                <c:manualLayout>
                  <c:x val="-3.3591721967113548E-3"/>
                  <c:y val="-4.58820830465705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A7-4C46-ABD7-F995E04B76E5}"/>
                </c:ext>
              </c:extLst>
            </c:dLbl>
            <c:dLbl>
              <c:idx val="16"/>
              <c:layout>
                <c:manualLayout>
                  <c:x val="-3.3591721967112429E-3"/>
                  <c:y val="-4.58820830465705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C0-4BCC-9802-EC244DAC1014}"/>
                </c:ext>
              </c:extLst>
            </c:dLbl>
            <c:dLbl>
              <c:idx val="17"/>
              <c:layout>
                <c:manualLayout>
                  <c:x val="-3.359172196711242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CE-439F-B715-28C7DDE6FECD}"/>
                </c:ext>
              </c:extLst>
            </c:dLbl>
            <c:dLbl>
              <c:idx val="18"/>
              <c:layout>
                <c:manualLayout>
                  <c:x val="-4.8781248163989755E-3"/>
                  <c:y val="-7.961528635113766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CE-439F-B715-28C7DDE6FECD}"/>
                </c:ext>
              </c:extLst>
            </c:dLbl>
            <c:dLbl>
              <c:idx val="19"/>
              <c:layout>
                <c:manualLayout>
                  <c:x val="-6.400244489986808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93-431F-83FE-B18945B0287D}"/>
                </c:ext>
              </c:extLst>
            </c:dLbl>
            <c:dLbl>
              <c:idx val="20"/>
              <c:layout>
                <c:manualLayout>
                  <c:x val="-4.02010050251256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CF-45AC-A803-29C1E30F2AF3}"/>
                </c:ext>
              </c:extLst>
            </c:dLbl>
            <c:dLbl>
              <c:idx val="21"/>
              <c:layout>
                <c:manualLayout>
                  <c:x val="-9.7456981879103595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CF-45AC-A803-29C1E30F2AF3}"/>
                </c:ext>
              </c:extLst>
            </c:dLbl>
            <c:dLbl>
              <c:idx val="22"/>
              <c:layout>
                <c:manualLayout>
                  <c:x val="-2.497335160651855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CF-45AC-A803-29C1E30F2A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Setembro'!$B$22:$B$44</c:f>
              <c:numCache>
                <c:formatCode>#,##0.00</c:formatCode>
                <c:ptCount val="23"/>
                <c:pt idx="0">
                  <c:v>299126.43</c:v>
                </c:pt>
                <c:pt idx="1">
                  <c:v>283836.59999999998</c:v>
                </c:pt>
                <c:pt idx="2">
                  <c:v>279596.77</c:v>
                </c:pt>
                <c:pt idx="3">
                  <c:v>312472.11</c:v>
                </c:pt>
                <c:pt idx="4">
                  <c:v>308493.63</c:v>
                </c:pt>
                <c:pt idx="5">
                  <c:v>325203.94</c:v>
                </c:pt>
                <c:pt idx="6">
                  <c:v>315331.19</c:v>
                </c:pt>
                <c:pt idx="7">
                  <c:v>295525.94</c:v>
                </c:pt>
                <c:pt idx="8">
                  <c:v>282830.14</c:v>
                </c:pt>
                <c:pt idx="9">
                  <c:v>279600.96999999997</c:v>
                </c:pt>
                <c:pt idx="10">
                  <c:v>352964.13</c:v>
                </c:pt>
                <c:pt idx="11">
                  <c:v>273321.68</c:v>
                </c:pt>
                <c:pt idx="12">
                  <c:v>294634.76</c:v>
                </c:pt>
                <c:pt idx="13">
                  <c:v>272106.02</c:v>
                </c:pt>
                <c:pt idx="14">
                  <c:v>393098.95</c:v>
                </c:pt>
                <c:pt idx="15">
                  <c:v>529766.38</c:v>
                </c:pt>
                <c:pt idx="16">
                  <c:v>512166.05</c:v>
                </c:pt>
                <c:pt idx="17">
                  <c:v>457567.66</c:v>
                </c:pt>
                <c:pt idx="18">
                  <c:v>454464.89</c:v>
                </c:pt>
                <c:pt idx="19">
                  <c:v>526948.57999999996</c:v>
                </c:pt>
                <c:pt idx="20">
                  <c:v>606110.48</c:v>
                </c:pt>
                <c:pt idx="21">
                  <c:v>412357.73</c:v>
                </c:pt>
                <c:pt idx="22">
                  <c:v>549956.52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A-4D1E-B1AF-3D7EE99A0D24}"/>
            </c:ext>
          </c:extLst>
        </c:ser>
        <c:ser>
          <c:idx val="1"/>
          <c:order val="1"/>
          <c:tx>
            <c:strRef>
              <c:f>'Soma dia - Setembro'!$C$20:$C$21</c:f>
              <c:strCache>
                <c:ptCount val="2"/>
                <c:pt idx="0">
                  <c:v>Inadimplência Diária - Setembro</c:v>
                </c:pt>
                <c:pt idx="1">
                  <c:v>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Setembro'!$C$22:$C$44</c:f>
              <c:numCache>
                <c:formatCode>m/d/yyyy</c:formatCode>
                <c:ptCount val="23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45909</c:v>
                </c:pt>
                <c:pt idx="6">
                  <c:v>45910</c:v>
                </c:pt>
                <c:pt idx="7">
                  <c:v>45911</c:v>
                </c:pt>
                <c:pt idx="8">
                  <c:v>45912</c:v>
                </c:pt>
                <c:pt idx="9">
                  <c:v>45913</c:v>
                </c:pt>
                <c:pt idx="10">
                  <c:v>45914</c:v>
                </c:pt>
                <c:pt idx="11">
                  <c:v>45915</c:v>
                </c:pt>
                <c:pt idx="12">
                  <c:v>45916</c:v>
                </c:pt>
                <c:pt idx="13">
                  <c:v>45917</c:v>
                </c:pt>
                <c:pt idx="14">
                  <c:v>45918</c:v>
                </c:pt>
                <c:pt idx="15">
                  <c:v>45919</c:v>
                </c:pt>
                <c:pt idx="16">
                  <c:v>45922</c:v>
                </c:pt>
                <c:pt idx="17">
                  <c:v>45923</c:v>
                </c:pt>
                <c:pt idx="18">
                  <c:v>45924</c:v>
                </c:pt>
                <c:pt idx="19">
                  <c:v>45925</c:v>
                </c:pt>
                <c:pt idx="20">
                  <c:v>45926</c:v>
                </c:pt>
                <c:pt idx="21">
                  <c:v>45929</c:v>
                </c:pt>
                <c:pt idx="22">
                  <c:v>45930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A-4D1E-B1AF-3D7EE99A0D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106912"/>
        <c:axId val="95110272"/>
      </c:barChart>
      <c:catAx>
        <c:axId val="95106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110272"/>
        <c:crosses val="autoZero"/>
        <c:auto val="1"/>
        <c:lblAlgn val="ctr"/>
        <c:lblOffset val="100"/>
        <c:noMultiLvlLbl val="0"/>
      </c:catAx>
      <c:valAx>
        <c:axId val="95110272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9510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Mês /2025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Setembro'!$C$1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6.119446896145925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EA-423E-9328-CA9772B60E1C}"/>
                </c:ext>
              </c:extLst>
            </c:dLbl>
            <c:dLbl>
              <c:idx val="1"/>
              <c:layout>
                <c:manualLayout>
                  <c:x val="-4.1580857114837701E-3"/>
                  <c:y val="-4.64576074332180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EA-423E-9328-CA9772B60E1C}"/>
                </c:ext>
              </c:extLst>
            </c:dLbl>
            <c:dLbl>
              <c:idx val="2"/>
              <c:layout>
                <c:manualLayout>
                  <c:x val="-6.1194468961459254E-3"/>
                  <c:y val="-9.29152148664335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EA-423E-9328-CA9772B60E1C}"/>
                </c:ext>
              </c:extLst>
            </c:dLbl>
            <c:dLbl>
              <c:idx val="3"/>
              <c:layout>
                <c:manualLayout>
                  <c:x val="-4.1580857114837701E-3"/>
                  <c:y val="-8.517129638814768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EA-423E-9328-CA9772B60E1C}"/>
                </c:ext>
              </c:extLst>
            </c:dLbl>
            <c:dLbl>
              <c:idx val="4"/>
              <c:layout>
                <c:manualLayout>
                  <c:x val="-8.08080808080808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EA-423E-9328-CA9772B60E1C}"/>
                </c:ext>
              </c:extLst>
            </c:dLbl>
            <c:dLbl>
              <c:idx val="5"/>
              <c:layout>
                <c:manualLayout>
                  <c:x val="-2.1967245268217578E-3"/>
                  <c:y val="-4.208705589428097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EA-423E-9328-CA9772B60E1C}"/>
                </c:ext>
              </c:extLst>
            </c:dLbl>
            <c:dLbl>
              <c:idx val="6"/>
              <c:layout>
                <c:manualLayout>
                  <c:x val="-6.982445817397273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AD-4EF6-8B71-9A76FB8FDD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Setembro'!$B$2:$B$8</c:f>
              <c:strCache>
                <c:ptCount val="7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  <c:pt idx="5">
                  <c:v>agosto</c:v>
                </c:pt>
                <c:pt idx="6">
                  <c:v>Setembro</c:v>
                </c:pt>
              </c:strCache>
            </c:strRef>
          </c:cat>
          <c:val>
            <c:numRef>
              <c:f>'Soma dia - Setembro'!$C$2:$C$8</c:f>
              <c:numCache>
                <c:formatCode>0.00%</c:formatCode>
                <c:ptCount val="7"/>
                <c:pt idx="0">
                  <c:v>5.1299999999999998E-2</c:v>
                </c:pt>
                <c:pt idx="1">
                  <c:v>0.14080000000000001</c:v>
                </c:pt>
                <c:pt idx="2">
                  <c:v>2.6599999999999999E-2</c:v>
                </c:pt>
                <c:pt idx="3">
                  <c:v>0.1638</c:v>
                </c:pt>
                <c:pt idx="4">
                  <c:v>6.3500000000000001E-2</c:v>
                </c:pt>
                <c:pt idx="5">
                  <c:v>0.1981</c:v>
                </c:pt>
                <c:pt idx="6">
                  <c:v>0.4214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A-423E-9328-CA9772B60E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5200992"/>
        <c:axId val="95184672"/>
      </c:barChart>
      <c:catAx>
        <c:axId val="9520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84672"/>
        <c:crosses val="autoZero"/>
        <c:auto val="1"/>
        <c:lblAlgn val="ctr"/>
        <c:lblOffset val="100"/>
        <c:noMultiLvlLbl val="0"/>
      </c:catAx>
      <c:valAx>
        <c:axId val="9518467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52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3.7515788342156889E-3"/>
                  <c:y val="-8.517129638814768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4B-4865-A4D9-204F91B4C1BD}"/>
                </c:ext>
              </c:extLst>
            </c:dLbl>
            <c:dLbl>
              <c:idx val="1"/>
              <c:layout>
                <c:manualLayout>
                  <c:x val="-2.9794857468893781E-3"/>
                  <c:y val="-1.44573530051826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4B-4865-A4D9-204F91B4C1BD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Setembro'!$D$72:$E$72</c:f>
              <c:strCache>
                <c:ptCount val="2"/>
                <c:pt idx="0">
                  <c:v>Total Inadimplência</c:v>
                </c:pt>
                <c:pt idx="1">
                  <c:v>Emissão</c:v>
                </c:pt>
              </c:strCache>
            </c:strRef>
          </c:cat>
          <c:val>
            <c:numRef>
              <c:f>'Soma dia - Setembro'!$D$73:$E$73</c:f>
              <c:numCache>
                <c:formatCode>"R$"\ #,##0.00</c:formatCode>
                <c:ptCount val="2"/>
                <c:pt idx="0">
                  <c:v>3905572.34</c:v>
                </c:pt>
                <c:pt idx="1">
                  <c:v>711871.7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B-4865-A4D9-204F91B4C1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091664"/>
        <c:axId val="263798992"/>
      </c:barChart>
      <c:catAx>
        <c:axId val="1190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798992"/>
        <c:crosses val="autoZero"/>
        <c:auto val="1"/>
        <c:lblAlgn val="ctr"/>
        <c:lblOffset val="100"/>
        <c:noMultiLvlLbl val="0"/>
      </c:catAx>
      <c:valAx>
        <c:axId val="26379899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190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Diária - Outubro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Outubro'!$A$21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4.668101608407517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64-44B7-93F8-DE4FA45BB58E}"/>
                </c:ext>
              </c:extLst>
            </c:dLbl>
            <c:dLbl>
              <c:idx val="1"/>
              <c:layout>
                <c:manualLayout>
                  <c:x val="-1.2932568104821868E-3"/>
                  <c:y val="-1.704019662837113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64-44B7-93F8-DE4FA45BB58E}"/>
                </c:ext>
              </c:extLst>
            </c:dLbl>
            <c:dLbl>
              <c:idx val="2"/>
              <c:layout>
                <c:manualLayout>
                  <c:x val="-1.75167200367144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C6-4262-92AA-21DD14721EE1}"/>
                </c:ext>
              </c:extLst>
            </c:dLbl>
            <c:dLbl>
              <c:idx val="3"/>
              <c:layout>
                <c:manualLayout>
                  <c:x val="-1.751672003671542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C6-4262-92AA-21DD14721EE1}"/>
                </c:ext>
              </c:extLst>
            </c:dLbl>
            <c:dLbl>
              <c:idx val="4"/>
              <c:layout>
                <c:manualLayout>
                  <c:x val="-3.8777078209044873E-4"/>
                  <c:y val="-3.70143693697402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C6-4262-92AA-21DD14721EE1}"/>
                </c:ext>
              </c:extLst>
            </c:dLbl>
            <c:dLbl>
              <c:idx val="5"/>
              <c:layout>
                <c:manualLayout>
                  <c:x val="-4.4191430884508569E-4"/>
                  <c:y val="1.37774691722257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C6-4262-92AA-21DD14721EE1}"/>
                </c:ext>
              </c:extLst>
            </c:dLbl>
            <c:dLbl>
              <c:idx val="6"/>
              <c:layout>
                <c:manualLayout>
                  <c:x val="-1.6975284769167138E-3"/>
                  <c:y val="-8.520098314185565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C6-4262-92AA-21DD14721EE1}"/>
                </c:ext>
              </c:extLst>
            </c:dLbl>
            <c:dLbl>
              <c:idx val="7"/>
              <c:layout>
                <c:manualLayout>
                  <c:x val="-3.8777078209044873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C6-4262-92AA-21DD14721EE1}"/>
                </c:ext>
              </c:extLst>
            </c:dLbl>
            <c:dLbl>
              <c:idx val="8"/>
              <c:layout>
                <c:manualLayout>
                  <c:x val="-3.8777078209035267E-4"/>
                  <c:y val="-8.520098314185565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6-47A2-B991-71665F19C01F}"/>
                </c:ext>
              </c:extLst>
            </c:dLbl>
            <c:dLbl>
              <c:idx val="9"/>
              <c:layout>
                <c:manualLayout>
                  <c:x val="-3.0072861717433631E-3"/>
                  <c:y val="-5.76468828738730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A6-47A2-B991-71665F19C01F}"/>
                </c:ext>
              </c:extLst>
            </c:dLbl>
            <c:dLbl>
              <c:idx val="10"/>
              <c:layout>
                <c:manualLayout>
                  <c:x val="-1.5761443734629433E-3"/>
                  <c:y val="-5.252290946153499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A6-47A2-B991-71665F19C01F}"/>
                </c:ext>
              </c:extLst>
            </c:dLbl>
            <c:dLbl>
              <c:idx val="11"/>
              <c:layout>
                <c:manualLayout>
                  <c:x val="-2.1749492398355865E-3"/>
                  <c:y val="-2.86491906603641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91-4987-BA96-53EA6C1B758C}"/>
                </c:ext>
              </c:extLst>
            </c:dLbl>
            <c:dLbl>
              <c:idx val="12"/>
              <c:layout>
                <c:manualLayout>
                  <c:x val="1.0417182521994149E-3"/>
                  <c:y val="2.864919066036384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8A-49DA-823C-A640AC351CE9}"/>
                </c:ext>
              </c:extLst>
            </c:dLbl>
            <c:dLbl>
              <c:idx val="13"/>
              <c:layout>
                <c:manualLayout>
                  <c:x val="-2.6844876217603996E-4"/>
                  <c:y val="-5.15995872033023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4E-4696-A51C-CFDEBAAF15F5}"/>
                </c:ext>
              </c:extLst>
            </c:dLbl>
            <c:dLbl>
              <c:idx val="14"/>
              <c:layout>
                <c:manualLayout>
                  <c:x val="-2.6844876217603996E-4"/>
                  <c:y val="-6.4585774808821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25-4EBF-B762-63E175D70860}"/>
                </c:ext>
              </c:extLst>
            </c:dLbl>
            <c:dLbl>
              <c:idx val="15"/>
              <c:layout>
                <c:manualLayout>
                  <c:x val="-2.6844876217584784E-4"/>
                  <c:y val="-2.323690019751365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FF-4AAC-9741-5D2A3BDA8517}"/>
                </c:ext>
              </c:extLst>
            </c:dLbl>
            <c:dLbl>
              <c:idx val="16"/>
              <c:layout>
                <c:manualLayout>
                  <c:x val="1.003837588483257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69-4FC8-89C2-D09796ECD1ED}"/>
                </c:ext>
              </c:extLst>
            </c:dLbl>
            <c:dLbl>
              <c:idx val="17"/>
              <c:layout>
                <c:manualLayout>
                  <c:x val="-5.309293724648055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A8-4526-89A1-FA4C36172467}"/>
                </c:ext>
              </c:extLst>
            </c:dLbl>
            <c:dLbl>
              <c:idx val="18"/>
              <c:layout>
                <c:manualLayout>
                  <c:x val="-2.7398989898989898E-3"/>
                  <c:y val="-2.10507768372359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A-43B8-B803-7E5022F3E42A}"/>
                </c:ext>
              </c:extLst>
            </c:dLbl>
            <c:dLbl>
              <c:idx val="19"/>
              <c:layout>
                <c:manualLayout>
                  <c:x val="-2.1164021164021165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2C-4EE1-A326-FE814A8CE172}"/>
                </c:ext>
              </c:extLst>
            </c:dLbl>
            <c:dLbl>
              <c:idx val="20"/>
              <c:layout>
                <c:manualLayout>
                  <c:x val="-2.701020662185710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42-4C35-BEFF-D04DCD43880A}"/>
                </c:ext>
              </c:extLst>
            </c:dLbl>
            <c:dLbl>
              <c:idx val="21"/>
              <c:layout>
                <c:manualLayout>
                  <c:x val="-1.4563106796117418E-3"/>
                  <c:y val="1.80639684181188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D5-4BC3-AFCC-AB9A50060B77}"/>
                </c:ext>
              </c:extLst>
            </c:dLbl>
            <c:dLbl>
              <c:idx val="22"/>
              <c:layout>
                <c:manualLayout>
                  <c:x val="-2.7010206621858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D5-4BC3-AFCC-AB9A50060B77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Outubro'!$A$22:$A$44</c:f>
              <c:numCache>
                <c:formatCode>#,##0.00</c:formatCode>
                <c:ptCount val="23"/>
                <c:pt idx="0">
                  <c:v>750862.43</c:v>
                </c:pt>
                <c:pt idx="1">
                  <c:v>718219.98</c:v>
                </c:pt>
                <c:pt idx="2">
                  <c:v>711700.12</c:v>
                </c:pt>
                <c:pt idx="3">
                  <c:v>693040.47</c:v>
                </c:pt>
                <c:pt idx="4">
                  <c:v>719302.11</c:v>
                </c:pt>
                <c:pt idx="5">
                  <c:v>723433.54</c:v>
                </c:pt>
                <c:pt idx="6">
                  <c:v>725433.54</c:v>
                </c:pt>
                <c:pt idx="7">
                  <c:v>722846.57</c:v>
                </c:pt>
                <c:pt idx="8">
                  <c:v>676085.85</c:v>
                </c:pt>
                <c:pt idx="9">
                  <c:v>743003.89</c:v>
                </c:pt>
                <c:pt idx="10">
                  <c:v>800345.02</c:v>
                </c:pt>
                <c:pt idx="11">
                  <c:v>855485.77</c:v>
                </c:pt>
                <c:pt idx="12">
                  <c:v>820161.2</c:v>
                </c:pt>
                <c:pt idx="13">
                  <c:v>786157.26</c:v>
                </c:pt>
                <c:pt idx="14">
                  <c:v>872672.97</c:v>
                </c:pt>
                <c:pt idx="15">
                  <c:v>881382.18</c:v>
                </c:pt>
                <c:pt idx="16">
                  <c:v>880401.42</c:v>
                </c:pt>
                <c:pt idx="17">
                  <c:v>888196.6</c:v>
                </c:pt>
                <c:pt idx="18">
                  <c:v>1007218.98</c:v>
                </c:pt>
                <c:pt idx="19">
                  <c:v>1190000.55</c:v>
                </c:pt>
                <c:pt idx="20">
                  <c:v>1108109.1100000001</c:v>
                </c:pt>
                <c:pt idx="21">
                  <c:v>1113319.07</c:v>
                </c:pt>
                <c:pt idx="22">
                  <c:v>1132301.24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4-44B7-93F8-DE4FA45BB58E}"/>
            </c:ext>
          </c:extLst>
        </c:ser>
        <c:ser>
          <c:idx val="1"/>
          <c:order val="1"/>
          <c:tx>
            <c:strRef>
              <c:f>'Soma dia - Outubro'!$B$21</c:f>
              <c:strCache>
                <c:ptCount val="1"/>
                <c:pt idx="0">
                  <c:v>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E64-44B7-93F8-DE4FA45BB58E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E64-44B7-93F8-DE4FA45BB58E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Outubro'!$B$22:$B$44</c:f>
              <c:numCache>
                <c:formatCode>m/d/yyyy</c:formatCode>
                <c:ptCount val="23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4-44B7-93F8-DE4FA45BB5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8814128"/>
        <c:axId val="1838814608"/>
      </c:barChart>
      <c:catAx>
        <c:axId val="183881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8814608"/>
        <c:crosses val="autoZero"/>
        <c:auto val="1"/>
        <c:lblAlgn val="ctr"/>
        <c:lblOffset val="100"/>
        <c:noMultiLvlLbl val="0"/>
      </c:catAx>
      <c:valAx>
        <c:axId val="1838814608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18388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Inadimplência Global /2025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Outubro'!$B$1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4526091586794461E-3"/>
                  <c:y val="-1.69280900716055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0A-4946-BC4D-4E5593F53849}"/>
                </c:ext>
              </c:extLst>
            </c:dLbl>
            <c:dLbl>
              <c:idx val="1"/>
              <c:layout>
                <c:manualLayout>
                  <c:x val="-4.5154419595313383E-3"/>
                  <c:y val="-1.69280900716055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0A-4946-BC4D-4E5593F53849}"/>
                </c:ext>
              </c:extLst>
            </c:dLbl>
            <c:dLbl>
              <c:idx val="2"/>
              <c:layout>
                <c:manualLayout>
                  <c:x val="-4.016335018825522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0A-4946-BC4D-4E5593F53849}"/>
                </c:ext>
              </c:extLst>
            </c:dLbl>
            <c:dLbl>
              <c:idx val="3"/>
              <c:layout>
                <c:manualLayout>
                  <c:x val="-8.7752928647497341E-3"/>
                  <c:y val="4.61680517082179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0A-4946-BC4D-4E5593F53849}"/>
                </c:ext>
              </c:extLst>
            </c:dLbl>
            <c:dLbl>
              <c:idx val="4"/>
              <c:layout>
                <c:manualLayout>
                  <c:x val="-3.322683706070287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0A-4946-BC4D-4E5593F53849}"/>
                </c:ext>
              </c:extLst>
            </c:dLbl>
            <c:dLbl>
              <c:idx val="5"/>
              <c:layout>
                <c:manualLayout>
                  <c:x val="-2.5559105431309905E-4"/>
                  <c:y val="-4.61680517082179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0A-4946-BC4D-4E5593F53849}"/>
                </c:ext>
              </c:extLst>
            </c:dLbl>
            <c:dLbl>
              <c:idx val="6"/>
              <c:layout>
                <c:manualLayout>
                  <c:x val="-4.5154419595314164E-3"/>
                  <c:y val="-9.23361034164358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0A-4946-BC4D-4E5593F53849}"/>
                </c:ext>
              </c:extLst>
            </c:dLbl>
            <c:dLbl>
              <c:idx val="7"/>
              <c:layout>
                <c:manualLayout>
                  <c:x val="-3.32268370607032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0A-4946-BC4D-4E5593F538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Outubro'!$A$2:$A$9</c:f>
              <c:strCache>
                <c:ptCount val="8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  <c:pt idx="5">
                  <c:v>agosto</c:v>
                </c:pt>
                <c:pt idx="6">
                  <c:v>Setembro</c:v>
                </c:pt>
                <c:pt idx="7">
                  <c:v>Outubro</c:v>
                </c:pt>
              </c:strCache>
            </c:strRef>
          </c:cat>
          <c:val>
            <c:numRef>
              <c:f>'Soma dia - Outubro'!$B$2:$B$9</c:f>
              <c:numCache>
                <c:formatCode>0.00%</c:formatCode>
                <c:ptCount val="8"/>
                <c:pt idx="0">
                  <c:v>9.7999999999999997E-3</c:v>
                </c:pt>
                <c:pt idx="1">
                  <c:v>0.14080000000000001</c:v>
                </c:pt>
                <c:pt idx="2">
                  <c:v>2.47E-2</c:v>
                </c:pt>
                <c:pt idx="3">
                  <c:v>0.14219999999999999</c:v>
                </c:pt>
                <c:pt idx="4">
                  <c:v>5.8400000000000001E-2</c:v>
                </c:pt>
                <c:pt idx="5">
                  <c:v>0.1275</c:v>
                </c:pt>
                <c:pt idx="6">
                  <c:v>0.19550000000000001</c:v>
                </c:pt>
                <c:pt idx="7">
                  <c:v>0.33050000000000002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A-4946-BC4D-4E5593F538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1825152"/>
        <c:axId val="1791827552"/>
      </c:barChart>
      <c:catAx>
        <c:axId val="179182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791827552"/>
        <c:crosses val="autoZero"/>
        <c:auto val="1"/>
        <c:lblAlgn val="ctr"/>
        <c:lblOffset val="100"/>
        <c:noMultiLvlLbl val="0"/>
      </c:catAx>
      <c:valAx>
        <c:axId val="179182755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9182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50572607612304"/>
          <c:y val="5.1380860629415541E-2"/>
          <c:w val="0.78238508183022892"/>
          <c:h val="0.9058017555127382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0.11289730838912852"/>
                  <c:y val="5.13808606294153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1F-4668-A114-C7D895BEECD7}"/>
                </c:ext>
              </c:extLst>
            </c:dLbl>
            <c:dLbl>
              <c:idx val="1"/>
              <c:layout>
                <c:manualLayout>
                  <c:x val="-0.13772259469293455"/>
                  <c:y val="1.67982374072219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1F-4668-A114-C7D895BEE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Outubro'!$C$89:$D$89</c:f>
              <c:strCache>
                <c:ptCount val="2"/>
                <c:pt idx="0">
                  <c:v>Total Inadimplência</c:v>
                </c:pt>
                <c:pt idx="1">
                  <c:v>Emissão</c:v>
                </c:pt>
              </c:strCache>
            </c:strRef>
          </c:cat>
          <c:val>
            <c:numRef>
              <c:f>'Soma dia - Outubro'!$C$90:$D$90</c:f>
              <c:numCache>
                <c:formatCode>"R$"\ #,##0.00</c:formatCode>
                <c:ptCount val="2"/>
                <c:pt idx="0">
                  <c:v>4699259.97</c:v>
                </c:pt>
                <c:pt idx="1">
                  <c:v>1132301.24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F-4668-A114-C7D895BEEC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1677648"/>
        <c:axId val="1951663728"/>
      </c:barChart>
      <c:catAx>
        <c:axId val="195167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1663728"/>
        <c:crosses val="autoZero"/>
        <c:auto val="1"/>
        <c:lblAlgn val="ctr"/>
        <c:lblOffset val="100"/>
        <c:noMultiLvlLbl val="0"/>
      </c:catAx>
      <c:valAx>
        <c:axId val="195166372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5167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30314960629921"/>
          <c:y val="0.10173629337999417"/>
          <c:w val="0.63786351706036748"/>
          <c:h val="0.698271726450860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'Soma dia - Novembro'!$C$1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9.9706471602292318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42-444B-9C8E-A30B8B7EEB28}"/>
                </c:ext>
              </c:extLst>
            </c:dLbl>
            <c:dLbl>
              <c:idx val="1"/>
              <c:layout>
                <c:manualLayout>
                  <c:x val="-4.181459566075023E-3"/>
                  <c:y val="4.62962962962954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42-444B-9C8E-A30B8B7EEB28}"/>
                </c:ext>
              </c:extLst>
            </c:dLbl>
            <c:dLbl>
              <c:idx val="2"/>
              <c:layout>
                <c:manualLayout>
                  <c:x val="-3.5948686887512567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42-444B-9C8E-A30B8B7EEB28}"/>
                </c:ext>
              </c:extLst>
            </c:dLbl>
            <c:dLbl>
              <c:idx val="3"/>
              <c:layout>
                <c:manualLayout>
                  <c:x val="-8.12623274161735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42-444B-9C8E-A30B8B7EEB28}"/>
                </c:ext>
              </c:extLst>
            </c:dLbl>
            <c:dLbl>
              <c:idx val="4"/>
              <c:layout>
                <c:manualLayout>
                  <c:x val="-7.0216962524655554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42-444B-9C8E-A30B8B7EEB28}"/>
                </c:ext>
              </c:extLst>
            </c:dLbl>
            <c:dLbl>
              <c:idx val="5"/>
              <c:layout>
                <c:manualLayout>
                  <c:x val="-4.181459566075023E-3"/>
                  <c:y val="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42-444B-9C8E-A30B8B7EEB28}"/>
                </c:ext>
              </c:extLst>
            </c:dLbl>
            <c:dLbl>
              <c:idx val="6"/>
              <c:layout>
                <c:manualLayout>
                  <c:x val="-6.1538461538461538E-3"/>
                  <c:y val="-4.62962962962958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42-444B-9C8E-A30B8B7EEB28}"/>
                </c:ext>
              </c:extLst>
            </c:dLbl>
            <c:dLbl>
              <c:idx val="7"/>
              <c:layout>
                <c:manualLayout>
                  <c:x val="-6.1538461538461538E-3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42-444B-9C8E-A30B8B7EEB28}"/>
                </c:ext>
              </c:extLst>
            </c:dLbl>
            <c:dLbl>
              <c:idx val="8"/>
              <c:layout>
                <c:manualLayout>
                  <c:x val="-7.021696252465483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9-4E9E-A6EA-64FB91499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Novembro'!$B$2:$B$10</c:f>
              <c:strCache>
                <c:ptCount val="9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  <c:pt idx="5">
                  <c:v>agosto</c:v>
                </c:pt>
                <c:pt idx="6">
                  <c:v>Setembro</c:v>
                </c:pt>
                <c:pt idx="7">
                  <c:v>Outubro</c:v>
                </c:pt>
                <c:pt idx="8">
                  <c:v>Novembro</c:v>
                </c:pt>
              </c:strCache>
            </c:strRef>
          </c:cat>
          <c:val>
            <c:numRef>
              <c:f>'Soma dia - Novembro'!$C$2:$C$10</c:f>
              <c:numCache>
                <c:formatCode>0.00%</c:formatCode>
                <c:ptCount val="9"/>
                <c:pt idx="0">
                  <c:v>1.3599999999999999E-2</c:v>
                </c:pt>
                <c:pt idx="1">
                  <c:v>9.8500000000000004E-2</c:v>
                </c:pt>
                <c:pt idx="2">
                  <c:v>6.1899999999999997E-2</c:v>
                </c:pt>
                <c:pt idx="3">
                  <c:v>0.11409999999999999</c:v>
                </c:pt>
                <c:pt idx="4">
                  <c:v>0.1053</c:v>
                </c:pt>
                <c:pt idx="5">
                  <c:v>0.1832</c:v>
                </c:pt>
                <c:pt idx="6">
                  <c:v>0.1883</c:v>
                </c:pt>
                <c:pt idx="7">
                  <c:v>0.27689999999999998</c:v>
                </c:pt>
                <c:pt idx="8">
                  <c:v>0.39360000000000001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2-444B-9C8E-A30B8B7EEB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5338575"/>
        <c:axId val="1865342415"/>
      </c:barChart>
      <c:catAx>
        <c:axId val="186533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42415"/>
        <c:crosses val="autoZero"/>
        <c:auto val="1"/>
        <c:lblAlgn val="ctr"/>
        <c:lblOffset val="100"/>
        <c:noMultiLvlLbl val="0"/>
      </c:catAx>
      <c:valAx>
        <c:axId val="186534241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86533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773406526379993E-2"/>
          <c:y val="0.1725997842502697"/>
          <c:w val="0.96645318694724003"/>
          <c:h val="0.78784609852571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'Soma dia - Novembro'!$B$20:$B$21</c:f>
              <c:strCache>
                <c:ptCount val="2"/>
                <c:pt idx="0">
                  <c:v>Inadimplência Diária </c:v>
                </c:pt>
                <c:pt idx="1">
                  <c:v>Valor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1.8260292164674636E-4"/>
                  <c:y val="-1.105070617694321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0-482C-AD4C-22985DDF27D8}"/>
                </c:ext>
              </c:extLst>
            </c:dLbl>
            <c:dLbl>
              <c:idx val="1"/>
              <c:layout>
                <c:manualLayout>
                  <c:x val="-3.137450199203187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0-482C-AD4C-22985DDF27D8}"/>
                </c:ext>
              </c:extLst>
            </c:dLbl>
            <c:dLbl>
              <c:idx val="2"/>
              <c:layout>
                <c:manualLayout>
                  <c:x val="-8.1175298804780881E-3"/>
                  <c:y val="-6.02772754671491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60-482C-AD4C-22985DDF27D8}"/>
                </c:ext>
              </c:extLst>
            </c:dLbl>
            <c:dLbl>
              <c:idx val="3"/>
              <c:layout>
                <c:manualLayout>
                  <c:x val="-4.751809869920106E-4"/>
                  <c:y val="-2.762676544235803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60-482C-AD4C-22985DDF27D8}"/>
                </c:ext>
              </c:extLst>
            </c:dLbl>
            <c:dLbl>
              <c:idx val="4"/>
              <c:layout>
                <c:manualLayout>
                  <c:x val="-1.3583638583638583E-3"/>
                  <c:y val="-2.43661902545837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3-430F-96D7-473358DC534E}"/>
                </c:ext>
              </c:extLst>
            </c:dLbl>
            <c:dLbl>
              <c:idx val="5"/>
              <c:layout>
                <c:manualLayout>
                  <c:x val="-2.8846153846153848E-3"/>
                  <c:y val="-2.43661902545837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90-4C47-8AC0-F55FCC46A6F5}"/>
                </c:ext>
              </c:extLst>
            </c:dLbl>
            <c:dLbl>
              <c:idx val="6"/>
              <c:layout>
                <c:manualLayout>
                  <c:x val="-2.8819762122597233E-3"/>
                  <c:y val="-7.19165767709457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81-43E0-9D19-3D70D5712E8A}"/>
                </c:ext>
              </c:extLst>
            </c:dLbl>
            <c:dLbl>
              <c:idx val="7"/>
              <c:layout>
                <c:manualLayout>
                  <c:x val="1.6773406526379993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81-43E0-9D19-3D70D5712E8A}"/>
                </c:ext>
              </c:extLst>
            </c:dLbl>
            <c:dLbl>
              <c:idx val="8"/>
              <c:layout>
                <c:manualLayout>
                  <c:x val="-2.815642458100558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60-40B6-A000-8B25214CD634}"/>
                </c:ext>
              </c:extLst>
            </c:dLbl>
            <c:dLbl>
              <c:idx val="9"/>
              <c:layout>
                <c:manualLayout>
                  <c:x val="-5.7990459153249851E-3"/>
                  <c:y val="-3.55745286374955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05-4350-B17D-7BB25B949F7E}"/>
                </c:ext>
              </c:extLst>
            </c:dLbl>
            <c:dLbl>
              <c:idx val="10"/>
              <c:layout>
                <c:manualLayout>
                  <c:x val="-1.3267740011927152E-3"/>
                  <c:y val="-3.26096078753980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F6-48BE-945B-879CEB35ACFF}"/>
                </c:ext>
              </c:extLst>
            </c:dLbl>
            <c:dLbl>
              <c:idx val="11"/>
              <c:layout>
                <c:manualLayout>
                  <c:x val="1.6398330351818723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9A-4FDD-AB93-5062FAD3D686}"/>
                </c:ext>
              </c:extLst>
            </c:dLbl>
            <c:dLbl>
              <c:idx val="12"/>
              <c:layout>
                <c:manualLayout>
                  <c:x val="-2.817531305903398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9A-4FDD-AB93-5062FAD3D686}"/>
                </c:ext>
              </c:extLst>
            </c:dLbl>
            <c:dLbl>
              <c:idx val="13"/>
              <c:layout>
                <c:manualLayout>
                  <c:x val="-1.742719559734118E-3"/>
                  <c:y val="-7.33855185909980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9E-4B4F-9687-707F96B3F914}"/>
                </c:ext>
              </c:extLst>
            </c:dLbl>
            <c:dLbl>
              <c:idx val="14"/>
              <c:layout>
                <c:manualLayout>
                  <c:x val="-7.2832886505808754E-3"/>
                  <c:y val="-2.596024008432284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7C-4ED9-AE48-6A67A4BCC45E}"/>
                </c:ext>
              </c:extLst>
            </c:dLbl>
            <c:dLbl>
              <c:idx val="15"/>
              <c:layout>
                <c:manualLayout>
                  <c:x val="-7.283288650580767E-3"/>
                  <c:y val="-2.83205890682528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7C-4ED9-AE48-6A67A4BCC45E}"/>
                </c:ext>
              </c:extLst>
            </c:dLbl>
            <c:dLbl>
              <c:idx val="16"/>
              <c:layout>
                <c:manualLayout>
                  <c:x val="-5.79386356866249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7-4B1F-A50A-DE5032811970}"/>
                </c:ext>
              </c:extLst>
            </c:dLbl>
            <c:dLbl>
              <c:idx val="17"/>
              <c:layout>
                <c:manualLayout>
                  <c:x val="-4.3044384867441171E-3"/>
                  <c:y val="-2.52334090335604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648793565683649E-2"/>
                      <c:h val="4.1458491042139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617-4B1F-A50A-DE5032811970}"/>
                </c:ext>
              </c:extLst>
            </c:dLbl>
            <c:dLbl>
              <c:idx val="18"/>
              <c:layout>
                <c:manualLayout>
                  <c:x val="-5.2647534560866004E-3"/>
                  <c:y val="-2.09641184077173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17-4B1F-A50A-DE5032811970}"/>
                </c:ext>
              </c:extLst>
            </c:dLbl>
            <c:dLbl>
              <c:idx val="19"/>
              <c:layout>
                <c:manualLayout>
                  <c:x val="-2.4161073825503354E-3"/>
                  <c:y val="-2.30760355370949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93-4077-8FF4-ECDFDAA380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Novembro'!$B$22:$B$41</c:f>
              <c:numCache>
                <c:formatCode>#,##0.00</c:formatCode>
                <c:ptCount val="20"/>
                <c:pt idx="0">
                  <c:v>1108448.93</c:v>
                </c:pt>
                <c:pt idx="1">
                  <c:v>1169046.3700000001</c:v>
                </c:pt>
                <c:pt idx="2">
                  <c:v>1192780.44</c:v>
                </c:pt>
                <c:pt idx="3">
                  <c:v>1467817.16</c:v>
                </c:pt>
                <c:pt idx="4">
                  <c:v>1442281.38</c:v>
                </c:pt>
                <c:pt idx="5">
                  <c:v>1401869.03</c:v>
                </c:pt>
                <c:pt idx="6">
                  <c:v>1764676.98</c:v>
                </c:pt>
                <c:pt idx="7">
                  <c:v>1315934.05</c:v>
                </c:pt>
                <c:pt idx="8">
                  <c:v>1434997.62</c:v>
                </c:pt>
                <c:pt idx="9">
                  <c:v>1397428.81</c:v>
                </c:pt>
                <c:pt idx="10">
                  <c:v>1532976.74</c:v>
                </c:pt>
                <c:pt idx="11">
                  <c:v>1495657.33</c:v>
                </c:pt>
                <c:pt idx="12">
                  <c:v>1479120.71</c:v>
                </c:pt>
                <c:pt idx="13">
                  <c:v>1516139.02</c:v>
                </c:pt>
                <c:pt idx="14">
                  <c:v>1474081.65</c:v>
                </c:pt>
                <c:pt idx="15">
                  <c:v>1551889</c:v>
                </c:pt>
                <c:pt idx="16">
                  <c:v>1529944.13</c:v>
                </c:pt>
                <c:pt idx="17">
                  <c:v>1596487.4</c:v>
                </c:pt>
                <c:pt idx="18">
                  <c:v>1855633.74</c:v>
                </c:pt>
                <c:pt idx="19">
                  <c:v>1778926.55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3-43DD-8740-7F01E5645E59}"/>
            </c:ext>
          </c:extLst>
        </c:ser>
        <c:ser>
          <c:idx val="1"/>
          <c:order val="1"/>
          <c:tx>
            <c:strRef>
              <c:f>'Soma dia - Novembro'!$C$20:$C$21</c:f>
              <c:strCache>
                <c:ptCount val="2"/>
                <c:pt idx="0">
                  <c:v>Inadimplência Diária </c:v>
                </c:pt>
                <c:pt idx="1">
                  <c:v>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5128106266368587E-3"/>
                  <c:y val="-6.02772754671488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53-43DD-8740-7F01E5645E59}"/>
                </c:ext>
              </c:extLst>
            </c:dLbl>
            <c:dLbl>
              <c:idx val="1"/>
              <c:layout>
                <c:manualLayout>
                  <c:x val="-2.5023233029082708E-3"/>
                  <c:y val="-3.18216695404983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96-4C3A-AA23-CF46636CA81E}"/>
                </c:ext>
              </c:extLst>
            </c:dLbl>
            <c:dLbl>
              <c:idx val="2"/>
              <c:layout>
                <c:manualLayout>
                  <c:x val="-1.7533540379165752E-3"/>
                  <c:y val="-1.381338272117901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0-482C-AD4C-22985DDF27D8}"/>
                </c:ext>
              </c:extLst>
            </c:dLbl>
            <c:dLbl>
              <c:idx val="3"/>
              <c:layout>
                <c:manualLayout>
                  <c:x val="-3.3446540336304117E-3"/>
                  <c:y val="-5.316321105794790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60-482C-AD4C-22985DDF27D8}"/>
                </c:ext>
              </c:extLst>
            </c:dLbl>
            <c:dLbl>
              <c:idx val="4"/>
              <c:layout>
                <c:manualLayout>
                  <c:x val="-3.3452549200580699E-3"/>
                  <c:y val="-5.316321105794790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3-430F-96D7-473358DC534E}"/>
                </c:ext>
              </c:extLst>
            </c:dLbl>
            <c:dLbl>
              <c:idx val="5"/>
              <c:layout>
                <c:manualLayout>
                  <c:x val="-1.8208060530895177E-3"/>
                  <c:y val="-5.31632110579480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90-4C47-8AC0-F55FCC46A6F5}"/>
                </c:ext>
              </c:extLst>
            </c:dLbl>
            <c:dLbl>
              <c:idx val="6"/>
              <c:layout>
                <c:manualLayout>
                  <c:x val="-2.391741288514599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81-43E0-9D19-3D70D5712E8A}"/>
                </c:ext>
              </c:extLst>
            </c:dLbl>
            <c:dLbl>
              <c:idx val="7"/>
              <c:layout>
                <c:manualLayout>
                  <c:x val="-3.9170766966114597E-3"/>
                  <c:y val="3.59582883854728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81-43E0-9D19-3D70D5712E8A}"/>
                </c:ext>
              </c:extLst>
            </c:dLbl>
            <c:dLbl>
              <c:idx val="8"/>
              <c:layout>
                <c:manualLayout>
                  <c:x val="1.3052930101089779E-4"/>
                  <c:y val="-1.2100942024722896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60-40B6-A000-8B25214CD634}"/>
                </c:ext>
              </c:extLst>
            </c:dLbl>
            <c:dLbl>
              <c:idx val="9"/>
              <c:layout>
                <c:manualLayout>
                  <c:x val="-2.8365472652233385E-3"/>
                  <c:y val="-3.26096078753980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05-4350-B17D-7BB25B949F7E}"/>
                </c:ext>
              </c:extLst>
            </c:dLbl>
            <c:dLbl>
              <c:idx val="10"/>
              <c:layout>
                <c:manualLayout>
                  <c:x val="1.6343160593297931E-3"/>
                  <c:y val="-1.06723585912486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F6-48BE-945B-879CEB35ACFF}"/>
                </c:ext>
              </c:extLst>
            </c:dLbl>
            <c:dLbl>
              <c:idx val="11"/>
              <c:layout>
                <c:manualLayout>
                  <c:x val="1.4308922475924856E-4"/>
                  <c:y val="-3.226847370119393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9A-4FDD-AB93-5062FAD3D686}"/>
                </c:ext>
              </c:extLst>
            </c:dLbl>
            <c:dLbl>
              <c:idx val="12"/>
              <c:layout>
                <c:manualLayout>
                  <c:x val="1.4261969489949713E-4"/>
                  <c:y val="-3.22684737011942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9A-4FDD-AB93-5062FAD3D686}"/>
                </c:ext>
              </c:extLst>
            </c:dLbl>
            <c:dLbl>
              <c:idx val="13"/>
              <c:layout>
                <c:manualLayout>
                  <c:x val="2.5217554065773878E-4"/>
                  <c:y val="-9.29549902152641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D1-400F-84AB-2869E9C94232}"/>
                </c:ext>
              </c:extLst>
            </c:dLbl>
            <c:dLbl>
              <c:idx val="14"/>
              <c:layout>
                <c:manualLayout>
                  <c:x val="-2.8586393256026942E-3"/>
                  <c:y val="-5.69580864247641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7C-4ED9-AE48-6A67A4BCC45E}"/>
                </c:ext>
              </c:extLst>
            </c:dLbl>
            <c:dLbl>
              <c:idx val="15"/>
              <c:layout>
                <c:manualLayout>
                  <c:x val="-1.3696846875373891E-3"/>
                  <c:y val="-2.83205890682528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7C-4ED9-AE48-6A67A4BCC45E}"/>
                </c:ext>
              </c:extLst>
            </c:dLbl>
            <c:dLbl>
              <c:idx val="16"/>
              <c:layout>
                <c:manualLayout>
                  <c:x val="-2.8595788797177901E-3"/>
                  <c:y val="-2.3130357743563954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17-4B1F-A50A-DE5032811970}"/>
                </c:ext>
              </c:extLst>
            </c:dLbl>
            <c:dLbl>
              <c:idx val="17"/>
              <c:layout>
                <c:manualLayout>
                  <c:x val="-2.860047989979811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17-4B1F-A50A-DE5032811970}"/>
                </c:ext>
              </c:extLst>
            </c:dLbl>
            <c:dLbl>
              <c:idx val="18"/>
              <c:layout>
                <c:manualLayout>
                  <c:x val="-1.371209295888959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17-4B1F-A50A-DE5032811970}"/>
                </c:ext>
              </c:extLst>
            </c:dLbl>
            <c:dLbl>
              <c:idx val="19"/>
              <c:layout>
                <c:manualLayout>
                  <c:x val="-4.9191837597482109E-4"/>
                  <c:y val="-2.30760355370949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93-4077-8FF4-ECDFDAA380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Novembro'!$C$22:$C$41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45982</c:v>
                </c:pt>
                <c:pt idx="14">
                  <c:v>45985</c:v>
                </c:pt>
                <c:pt idx="15">
                  <c:v>45986</c:v>
                </c:pt>
                <c:pt idx="16">
                  <c:v>45987</c:v>
                </c:pt>
                <c:pt idx="17">
                  <c:v>45988</c:v>
                </c:pt>
                <c:pt idx="18">
                  <c:v>45989</c:v>
                </c:pt>
                <c:pt idx="19">
                  <c:v>45991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3-43DD-8740-7F01E5645E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6997647"/>
        <c:axId val="1626997167"/>
      </c:barChart>
      <c:catAx>
        <c:axId val="1626997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997167"/>
        <c:crosses val="autoZero"/>
        <c:auto val="1"/>
        <c:lblAlgn val="ctr"/>
        <c:lblOffset val="100"/>
        <c:noMultiLvlLbl val="0"/>
      </c:catAx>
      <c:valAx>
        <c:axId val="1626997167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162699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3467739609475"/>
          <c:y val="4.6296296296296294E-2"/>
          <c:w val="0.79611880245738509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3.35164835164848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EF-490A-99E3-A86841888207}"/>
                </c:ext>
              </c:extLst>
            </c:dLbl>
            <c:dLbl>
              <c:idx val="1"/>
              <c:layout>
                <c:manualLayout>
                  <c:x val="-5.1831501831501835E-3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EF-490A-99E3-A86841888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Novembro'!$D$96:$E$96</c:f>
              <c:strCache>
                <c:ptCount val="2"/>
                <c:pt idx="0">
                  <c:v>Emissão</c:v>
                </c:pt>
                <c:pt idx="1">
                  <c:v>Total Inadimplência</c:v>
                </c:pt>
              </c:strCache>
            </c:strRef>
          </c:cat>
          <c:val>
            <c:numRef>
              <c:f>'Soma dia - Novembro'!$D$97:$E$97</c:f>
              <c:numCache>
                <c:formatCode>"R$"\ #,##0.00</c:formatCode>
                <c:ptCount val="2"/>
                <c:pt idx="0">
                  <c:v>6373195.8499999996</c:v>
                </c:pt>
                <c:pt idx="1">
                  <c:v>1778926.55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90A-99E3-A868418882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3883472"/>
        <c:axId val="1153885872"/>
      </c:barChart>
      <c:catAx>
        <c:axId val="115388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885872"/>
        <c:crosses val="autoZero"/>
        <c:auto val="1"/>
        <c:lblAlgn val="ctr"/>
        <c:lblOffset val="100"/>
        <c:noMultiLvlLbl val="0"/>
      </c:catAx>
      <c:valAx>
        <c:axId val="115388587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15388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Dezembro'!$C$1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7302760467825113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6B-4830-BDB9-AC21E2C3C86D}"/>
                </c:ext>
              </c:extLst>
            </c:dLbl>
            <c:dLbl>
              <c:idx val="1"/>
              <c:layout>
                <c:manualLayout>
                  <c:x val="-6.06680299931839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6B-4830-BDB9-AC21E2C3C86D}"/>
                </c:ext>
              </c:extLst>
            </c:dLbl>
            <c:dLbl>
              <c:idx val="2"/>
              <c:layout>
                <c:manualLayout>
                  <c:x val="-6.066802999318336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6B-4830-BDB9-AC21E2C3C86D}"/>
                </c:ext>
              </c:extLst>
            </c:dLbl>
            <c:dLbl>
              <c:idx val="3"/>
              <c:layout>
                <c:manualLayout>
                  <c:x val="-5.316973415132987E-3"/>
                  <c:y val="4.62962962962954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6B-4830-BDB9-AC21E2C3C86D}"/>
                </c:ext>
              </c:extLst>
            </c:dLbl>
            <c:dLbl>
              <c:idx val="4"/>
              <c:layout>
                <c:manualLayout>
                  <c:x val="-3.61281526925698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6B-4830-BDB9-AC21E2C3C86D}"/>
                </c:ext>
              </c:extLst>
            </c:dLbl>
            <c:dLbl>
              <c:idx val="5"/>
              <c:layout>
                <c:manualLayout>
                  <c:x val="-5.3169734151329246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6B-4830-BDB9-AC21E2C3C86D}"/>
                </c:ext>
              </c:extLst>
            </c:dLbl>
            <c:dLbl>
              <c:idx val="6"/>
              <c:layout>
                <c:manualLayout>
                  <c:x val="-7.0211315610088617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6B-4830-BDB9-AC21E2C3C86D}"/>
                </c:ext>
              </c:extLst>
            </c:dLbl>
            <c:dLbl>
              <c:idx val="7"/>
              <c:layout>
                <c:manualLayout>
                  <c:x val="-3.6128152692569871E-3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B-4830-BDB9-AC21E2C3C86D}"/>
                </c:ext>
              </c:extLst>
            </c:dLbl>
            <c:dLbl>
              <c:idx val="8"/>
              <c:layout>
                <c:manualLayout>
                  <c:x val="-7.0211315610088617E-3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6B-4830-BDB9-AC21E2C3C86D}"/>
                </c:ext>
              </c:extLst>
            </c:dLbl>
            <c:dLbl>
              <c:idx val="9"/>
              <c:layout>
                <c:manualLayout>
                  <c:x val="-2.778717077543221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6B-4830-BDB9-AC21E2C3C8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Dezembro'!$B$2:$B$11</c:f>
              <c:strCache>
                <c:ptCount val="10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  <c:pt idx="5">
                  <c:v>agosto</c:v>
                </c:pt>
                <c:pt idx="6">
                  <c:v>Setembro</c:v>
                </c:pt>
                <c:pt idx="7">
                  <c:v>Outubro</c:v>
                </c:pt>
                <c:pt idx="8">
                  <c:v>Novembro</c:v>
                </c:pt>
                <c:pt idx="9">
                  <c:v>Dezembro</c:v>
                </c:pt>
              </c:strCache>
            </c:strRef>
          </c:cat>
          <c:val>
            <c:numRef>
              <c:f>'Soma dia - Dezembro'!$C$2:$C$11</c:f>
              <c:numCache>
                <c:formatCode>0.00%</c:formatCode>
                <c:ptCount val="10"/>
                <c:pt idx="0">
                  <c:v>1.3599999999999999E-2</c:v>
                </c:pt>
                <c:pt idx="1">
                  <c:v>9.4299999999999995E-2</c:v>
                </c:pt>
                <c:pt idx="2">
                  <c:v>6.1899999999999997E-2</c:v>
                </c:pt>
                <c:pt idx="3">
                  <c:v>9.2999999999999999E-2</c:v>
                </c:pt>
                <c:pt idx="4">
                  <c:v>9.2899999999999996E-2</c:v>
                </c:pt>
                <c:pt idx="5">
                  <c:v>0.1636</c:v>
                </c:pt>
                <c:pt idx="6">
                  <c:v>0.17150000000000001</c:v>
                </c:pt>
                <c:pt idx="7">
                  <c:v>0.20180000000000001</c:v>
                </c:pt>
                <c:pt idx="8">
                  <c:v>0.27560000000000001</c:v>
                </c:pt>
                <c:pt idx="9">
                  <c:v>0.46939999999999998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B-4830-BDB9-AC21E2C3C8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8342224"/>
        <c:axId val="1658325904"/>
      </c:barChart>
      <c:catAx>
        <c:axId val="165834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325904"/>
        <c:crosses val="autoZero"/>
        <c:auto val="1"/>
        <c:lblAlgn val="ctr"/>
        <c:lblOffset val="100"/>
        <c:noMultiLvlLbl val="0"/>
      </c:catAx>
      <c:valAx>
        <c:axId val="16583259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6583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Diária Dezembro/2025 </a:t>
            </a:r>
          </a:p>
        </c:rich>
      </c:tx>
      <c:layout>
        <c:manualLayout>
          <c:xMode val="edge"/>
          <c:yMode val="edge"/>
          <c:x val="0.37209542219384739"/>
          <c:y val="1.841620626151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Dezembro'!$B$27:$B$28</c:f>
              <c:strCache>
                <c:ptCount val="2"/>
                <c:pt idx="0">
                  <c:v>Inadimplência Diária </c:v>
                </c:pt>
                <c:pt idx="1">
                  <c:v>Valor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1761184346338731E-3"/>
                  <c:y val="-4.25441395447792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FD-40A0-8A3E-8E688FCCC9AA}"/>
                </c:ext>
              </c:extLst>
            </c:dLbl>
            <c:dLbl>
              <c:idx val="1"/>
              <c:layout>
                <c:manualLayout>
                  <c:x val="-2.197183098591687E-3"/>
                  <c:y val="-4.60087416609164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FD-40A0-8A3E-8E688FCCC9AA}"/>
                </c:ext>
              </c:extLst>
            </c:dLbl>
            <c:dLbl>
              <c:idx val="2"/>
              <c:layout>
                <c:manualLayout>
                  <c:x val="-7.8309859154929579E-3"/>
                  <c:y val="-4.217419265596684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FD-40A0-8A3E-8E688FCCC9AA}"/>
                </c:ext>
              </c:extLst>
            </c:dLbl>
            <c:dLbl>
              <c:idx val="3"/>
              <c:layout>
                <c:manualLayout>
                  <c:x val="-3.1273408239700373E-3"/>
                  <c:y val="-3.22580645161286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7D-423C-8487-234BA216C06C}"/>
                </c:ext>
              </c:extLst>
            </c:dLbl>
            <c:dLbl>
              <c:idx val="4"/>
              <c:layout>
                <c:manualLayout>
                  <c:x val="-3.1835205992495632E-4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A4-4C5F-A3D0-8622150D2921}"/>
                </c:ext>
              </c:extLst>
            </c:dLbl>
            <c:dLbl>
              <c:idx val="5"/>
              <c:layout>
                <c:manualLayout>
                  <c:x val="-4.06367041198515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7A-42E1-9C8E-11411B7A31F5}"/>
                </c:ext>
              </c:extLst>
            </c:dLbl>
            <c:dLbl>
              <c:idx val="6"/>
              <c:layout>
                <c:manualLayout>
                  <c:x val="-1.7228464419475654E-3"/>
                  <c:y val="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CE-44F4-9747-5CBF30AA3232}"/>
                </c:ext>
              </c:extLst>
            </c:dLbl>
            <c:dLbl>
              <c:idx val="7"/>
              <c:layout>
                <c:manualLayout>
                  <c:x val="-3.1835205992509363E-4"/>
                  <c:y val="8.7209302325581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CE-44F4-9747-5CBF30AA3232}"/>
                </c:ext>
              </c:extLst>
            </c:dLbl>
            <c:dLbl>
              <c:idx val="8"/>
              <c:layout>
                <c:manualLayout>
                  <c:x val="-4.5318352059925092E-3"/>
                  <c:y val="-5.81395348837212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A0-4A70-A2FA-C2EED2980F46}"/>
                </c:ext>
              </c:extLst>
            </c:dLbl>
            <c:dLbl>
              <c:idx val="9"/>
              <c:layout>
                <c:manualLayout>
                  <c:x val="-5.936329588015119E-3"/>
                  <c:y val="-2.9069767441860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2F-466E-A7AF-5E7A6B7FC1DB}"/>
                </c:ext>
              </c:extLst>
            </c:dLbl>
            <c:dLbl>
              <c:idx val="10"/>
              <c:layout>
                <c:manualLayout>
                  <c:x val="-5.93632958801498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7E-4BF0-80DA-A97F5CF05CE9}"/>
                </c:ext>
              </c:extLst>
            </c:dLbl>
            <c:dLbl>
              <c:idx val="11"/>
              <c:layout>
                <c:manualLayout>
                  <c:x val="-8.7453183520600618E-3"/>
                  <c:y val="2.90697674418601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76-4279-8E3C-53B594D6174E}"/>
                </c:ext>
              </c:extLst>
            </c:dLbl>
            <c:dLbl>
              <c:idx val="12"/>
              <c:layout>
                <c:manualLayout>
                  <c:x val="-5.93632958801498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A1-439C-97A5-1B575BEAAC30}"/>
                </c:ext>
              </c:extLst>
            </c:dLbl>
            <c:dLbl>
              <c:idx val="13"/>
              <c:layout>
                <c:manualLayout>
                  <c:x val="-5.3118751586854239E-3"/>
                  <c:y val="-4.84494645466179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86-4F5B-94B6-945256F26BE9}"/>
                </c:ext>
              </c:extLst>
            </c:dLbl>
            <c:dLbl>
              <c:idx val="14"/>
              <c:layout>
                <c:manualLayout>
                  <c:x val="-2.5030163254184221E-3"/>
                  <c:y val="-1.19508698929187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86-4F5B-94B6-945256F26BE9}"/>
                </c:ext>
              </c:extLst>
            </c:dLbl>
            <c:dLbl>
              <c:idx val="15"/>
              <c:layout>
                <c:manualLayout>
                  <c:x val="-7.9860803916364381E-3"/>
                  <c:y val="3.2298439844092176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4E-4229-A05D-E2A38C42512E}"/>
                </c:ext>
              </c:extLst>
            </c:dLbl>
            <c:dLbl>
              <c:idx val="16"/>
              <c:layout>
                <c:manualLayout>
                  <c:x val="-7.652886208523663E-3"/>
                  <c:y val="1.4115986508761663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BD-4487-B015-E4142B754DB1}"/>
                </c:ext>
              </c:extLst>
            </c:dLbl>
            <c:dLbl>
              <c:idx val="17"/>
              <c:layout>
                <c:manualLayout>
                  <c:x val="-5.586536750042179E-3"/>
                  <c:y val="-1.04074445848880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14-4F9D-AFD9-343180B03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Dezembro'!$B$29:$B$46</c:f>
              <c:numCache>
                <c:formatCode>#,##0.00</c:formatCode>
                <c:ptCount val="18"/>
                <c:pt idx="0">
                  <c:v>1869151.81</c:v>
                </c:pt>
                <c:pt idx="1">
                  <c:v>1949993.49</c:v>
                </c:pt>
                <c:pt idx="2">
                  <c:v>1883346.98</c:v>
                </c:pt>
                <c:pt idx="3">
                  <c:v>1911502.25</c:v>
                </c:pt>
                <c:pt idx="4">
                  <c:v>1866327.97</c:v>
                </c:pt>
                <c:pt idx="5">
                  <c:v>1972025.25</c:v>
                </c:pt>
                <c:pt idx="6">
                  <c:v>2038030.13</c:v>
                </c:pt>
                <c:pt idx="7">
                  <c:v>2091167.27</c:v>
                </c:pt>
                <c:pt idx="8">
                  <c:v>1977054.19</c:v>
                </c:pt>
                <c:pt idx="9">
                  <c:v>1926310.42</c:v>
                </c:pt>
                <c:pt idx="10">
                  <c:v>2141803.09</c:v>
                </c:pt>
                <c:pt idx="11">
                  <c:v>2156410.4900000002</c:v>
                </c:pt>
                <c:pt idx="12">
                  <c:v>2174189.5299999998</c:v>
                </c:pt>
                <c:pt idx="13">
                  <c:v>2180780.48</c:v>
                </c:pt>
                <c:pt idx="14">
                  <c:v>2130505.48</c:v>
                </c:pt>
                <c:pt idx="15">
                  <c:v>2729895.13</c:v>
                </c:pt>
                <c:pt idx="16">
                  <c:v>2585227.3199999998</c:v>
                </c:pt>
                <c:pt idx="17">
                  <c:v>2738739.6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D-40A0-8A3E-8E688FCCC9AA}"/>
            </c:ext>
          </c:extLst>
        </c:ser>
        <c:ser>
          <c:idx val="1"/>
          <c:order val="1"/>
          <c:tx>
            <c:strRef>
              <c:f>'Soma dia - Dezembro'!$C$27:$C$28</c:f>
              <c:strCache>
                <c:ptCount val="2"/>
                <c:pt idx="0">
                  <c:v>Inadimplência Diária </c:v>
                </c:pt>
                <c:pt idx="1">
                  <c:v>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5018136777846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FD-40A0-8A3E-8E688FCCC9AA}"/>
                </c:ext>
              </c:extLst>
            </c:dLbl>
            <c:dLbl>
              <c:idx val="1"/>
              <c:layout>
                <c:manualLayout>
                  <c:x val="-5.2561266920286651E-3"/>
                  <c:y val="-4.95354481455612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FD-40A0-8A3E-8E688FCCC9AA}"/>
                </c:ext>
              </c:extLst>
            </c:dLbl>
            <c:dLbl>
              <c:idx val="2"/>
              <c:layout>
                <c:manualLayout>
                  <c:x val="-5.2564215989855199E-3"/>
                  <c:y val="-7.79966881410286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FD-40A0-8A3E-8E688FCCC9AA}"/>
                </c:ext>
              </c:extLst>
            </c:dLbl>
            <c:dLbl>
              <c:idx val="3"/>
              <c:layout>
                <c:manualLayout>
                  <c:x val="-2.6587336695272643E-3"/>
                  <c:y val="-4.25441395447777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6D-4B39-863B-AF4DD295784C}"/>
                </c:ext>
              </c:extLst>
            </c:dLbl>
            <c:dLbl>
              <c:idx val="4"/>
              <c:layout>
                <c:manualLayout>
                  <c:x val="-7.8769648176000467E-4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A4-4C5F-A3D0-8622150D2921}"/>
                </c:ext>
              </c:extLst>
            </c:dLbl>
            <c:dLbl>
              <c:idx val="5"/>
              <c:layout>
                <c:manualLayout>
                  <c:x val="-7.8799138871685985E-4"/>
                  <c:y val="-3.83582662063674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7A-42E1-9C8E-11411B7A31F5}"/>
                </c:ext>
              </c:extLst>
            </c:dLbl>
            <c:dLbl>
              <c:idx val="6"/>
              <c:layout>
                <c:manualLayout>
                  <c:x val="3.4250493969152731E-3"/>
                  <c:y val="-2.9069767441860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CE-44F4-9747-5CBF30AA3232}"/>
                </c:ext>
              </c:extLst>
            </c:dLbl>
            <c:dLbl>
              <c:idx val="7"/>
              <c:layout>
                <c:manualLayout>
                  <c:x val="-2.19322303813146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CE-44F4-9747-5CBF30AA3232}"/>
                </c:ext>
              </c:extLst>
            </c:dLbl>
            <c:dLbl>
              <c:idx val="8"/>
              <c:layout>
                <c:manualLayout>
                  <c:x val="-2.1936653985667521E-3"/>
                  <c:y val="-5.8139534883720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A0-4A70-A2FA-C2EED2980F46}"/>
                </c:ext>
              </c:extLst>
            </c:dLbl>
            <c:dLbl>
              <c:idx val="9"/>
              <c:layout>
                <c:manualLayout>
                  <c:x val="-7.9035064437170074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F-466E-A7AF-5E7A6B7FC1DB}"/>
                </c:ext>
              </c:extLst>
            </c:dLbl>
            <c:dLbl>
              <c:idx val="10"/>
              <c:layout>
                <c:manualLayout>
                  <c:x val="-3.5996343153734994E-3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7E-4BF0-80DA-A97F5CF05CE9}"/>
                </c:ext>
              </c:extLst>
            </c:dLbl>
            <c:dLbl>
              <c:idx val="11"/>
              <c:layout>
                <c:manualLayout>
                  <c:x val="-5.0045710578312539E-3"/>
                  <c:y val="-1.16279069767441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76-4279-8E3C-53B594D6174E}"/>
                </c:ext>
              </c:extLst>
            </c:dLbl>
            <c:dLbl>
              <c:idx val="12"/>
              <c:layout>
                <c:manualLayout>
                  <c:x val="-2.1960246542215931E-3"/>
                  <c:y val="-5.8139534883720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A1-439C-97A5-1B575BEAAC30}"/>
                </c:ext>
              </c:extLst>
            </c:dLbl>
            <c:dLbl>
              <c:idx val="13"/>
              <c:layout>
                <c:manualLayout>
                  <c:x val="-2.8205154744289748E-3"/>
                  <c:y val="-5.490946215252543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86-4F5B-94B6-945256F26BE9}"/>
                </c:ext>
              </c:extLst>
            </c:dLbl>
            <c:dLbl>
              <c:idx val="14"/>
              <c:layout>
                <c:manualLayout>
                  <c:x val="-7.9296194521636721E-4"/>
                  <c:y val="-4.19891712277436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86-4F5B-94B6-945256F26BE9}"/>
                </c:ext>
              </c:extLst>
            </c:dLbl>
            <c:dLbl>
              <c:idx val="15"/>
              <c:layout>
                <c:manualLayout>
                  <c:x val="3.5523017487982542E-3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4E-4229-A05D-E2A38C42512E}"/>
                </c:ext>
              </c:extLst>
            </c:dLbl>
            <c:dLbl>
              <c:idx val="16"/>
              <c:layout>
                <c:manualLayout>
                  <c:x val="5.8537925754639254E-4"/>
                  <c:y val="-7.42890114007992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BD-4487-B015-E4142B754DB1}"/>
                </c:ext>
              </c:extLst>
            </c:dLbl>
            <c:dLbl>
              <c:idx val="17"/>
              <c:layout>
                <c:manualLayout>
                  <c:x val="1.6702683090616818E-3"/>
                  <c:y val="-6.46972656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14-4F9D-AFD9-343180B03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Dezembro'!$C$29:$C$46</c:f>
              <c:numCache>
                <c:formatCode>m/d/yyyy</c:formatCode>
                <c:ptCount val="18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46020</c:v>
                </c:pt>
                <c:pt idx="17">
                  <c:v>46021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D-40A0-8A3E-8E688FCCC9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1342512"/>
        <c:axId val="281337712"/>
      </c:barChart>
      <c:catAx>
        <c:axId val="281342512"/>
        <c:scaling>
          <c:orientation val="minMax"/>
        </c:scaling>
        <c:delete val="1"/>
        <c:axPos val="l"/>
        <c:majorTickMark val="none"/>
        <c:minorTickMark val="none"/>
        <c:tickLblPos val="nextTo"/>
        <c:crossAx val="281337712"/>
        <c:crosses val="autoZero"/>
        <c:auto val="1"/>
        <c:lblAlgn val="ctr"/>
        <c:lblOffset val="100"/>
        <c:noMultiLvlLbl val="0"/>
      </c:catAx>
      <c:valAx>
        <c:axId val="281337712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28134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Dezembro'!$U$1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0552922590837279E-3"/>
                  <c:y val="-4.629629629629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1F-4D91-A856-EDA7D18AD86B}"/>
                </c:ext>
              </c:extLst>
            </c:dLbl>
            <c:dLbl>
              <c:idx val="1"/>
              <c:layout>
                <c:manualLayout>
                  <c:x val="-1.105845181674565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1F-4D91-A856-EDA7D18AD86B}"/>
                </c:ext>
              </c:extLst>
            </c:dLbl>
            <c:dLbl>
              <c:idx val="2"/>
              <c:layout>
                <c:manualLayout>
                  <c:x val="-4.186413902053712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1F-4D91-A856-EDA7D18AD86B}"/>
                </c:ext>
              </c:extLst>
            </c:dLbl>
            <c:dLbl>
              <c:idx val="3"/>
              <c:layout>
                <c:manualLayout>
                  <c:x val="-4.186413902053712E-3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1F-4D91-A856-EDA7D18AD86B}"/>
                </c:ext>
              </c:extLst>
            </c:dLbl>
            <c:dLbl>
              <c:idx val="4"/>
              <c:layout>
                <c:manualLayout>
                  <c:x val="-5.5468341182626901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1F-4D91-A856-EDA7D18AD8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Dezembro'!$T$2:$T$6</c:f>
              <c:strCache>
                <c:ptCount val="5"/>
                <c:pt idx="0">
                  <c:v>agosto</c:v>
                </c:pt>
                <c:pt idx="1">
                  <c:v>setembro</c:v>
                </c:pt>
                <c:pt idx="2">
                  <c:v>outubro</c:v>
                </c:pt>
                <c:pt idx="3">
                  <c:v>novembro</c:v>
                </c:pt>
                <c:pt idx="4">
                  <c:v>dezembro</c:v>
                </c:pt>
              </c:strCache>
            </c:strRef>
          </c:cat>
          <c:val>
            <c:numRef>
              <c:f>'Soma dia - Dezembro'!$U$2:$U$6</c:f>
              <c:numCache>
                <c:formatCode>0.00%</c:formatCode>
                <c:ptCount val="5"/>
                <c:pt idx="0">
                  <c:v>3.49E-2</c:v>
                </c:pt>
                <c:pt idx="1">
                  <c:v>5.8500000000000003E-2</c:v>
                </c:pt>
                <c:pt idx="2">
                  <c:v>0.19309999999999999</c:v>
                </c:pt>
                <c:pt idx="3">
                  <c:v>0.32379999999999998</c:v>
                </c:pt>
                <c:pt idx="4">
                  <c:v>0.1457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F-4D91-A856-EDA7D18AD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45495296"/>
        <c:axId val="1545491456"/>
      </c:barChart>
      <c:catAx>
        <c:axId val="154549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491456"/>
        <c:crosses val="autoZero"/>
        <c:auto val="1"/>
        <c:lblAlgn val="ctr"/>
        <c:lblOffset val="100"/>
        <c:noMultiLvlLbl val="0"/>
      </c:catAx>
      <c:valAx>
        <c:axId val="15454914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5454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Janeiro - 2026'!$C$1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7302760467825113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B-4AFF-A2F3-0BC105831BD6}"/>
                </c:ext>
              </c:extLst>
            </c:dLbl>
            <c:dLbl>
              <c:idx val="1"/>
              <c:layout>
                <c:manualLayout>
                  <c:x val="-6.06680299931839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AB-4AFF-A2F3-0BC105831BD6}"/>
                </c:ext>
              </c:extLst>
            </c:dLbl>
            <c:dLbl>
              <c:idx val="2"/>
              <c:layout>
                <c:manualLayout>
                  <c:x val="-6.066802999318336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AB-4AFF-A2F3-0BC105831BD6}"/>
                </c:ext>
              </c:extLst>
            </c:dLbl>
            <c:dLbl>
              <c:idx val="3"/>
              <c:layout>
                <c:manualLayout>
                  <c:x val="-5.316973415132987E-3"/>
                  <c:y val="4.62962962962954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AB-4AFF-A2F3-0BC105831BD6}"/>
                </c:ext>
              </c:extLst>
            </c:dLbl>
            <c:dLbl>
              <c:idx val="4"/>
              <c:layout>
                <c:manualLayout>
                  <c:x val="-3.612815269256987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AB-4AFF-A2F3-0BC105831BD6}"/>
                </c:ext>
              </c:extLst>
            </c:dLbl>
            <c:dLbl>
              <c:idx val="5"/>
              <c:layout>
                <c:manualLayout>
                  <c:x val="-5.3169734151329246E-3"/>
                  <c:y val="-4.62962962962971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AB-4AFF-A2F3-0BC105831BD6}"/>
                </c:ext>
              </c:extLst>
            </c:dLbl>
            <c:dLbl>
              <c:idx val="6"/>
              <c:layout>
                <c:manualLayout>
                  <c:x val="-7.0211315610088617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AB-4AFF-A2F3-0BC105831BD6}"/>
                </c:ext>
              </c:extLst>
            </c:dLbl>
            <c:dLbl>
              <c:idx val="7"/>
              <c:layout>
                <c:manualLayout>
                  <c:x val="-3.6128152692569871E-3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AB-4AFF-A2F3-0BC105831BD6}"/>
                </c:ext>
              </c:extLst>
            </c:dLbl>
            <c:dLbl>
              <c:idx val="8"/>
              <c:layout>
                <c:manualLayout>
                  <c:x val="-7.0211315610088617E-3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AB-4AFF-A2F3-0BC105831BD6}"/>
                </c:ext>
              </c:extLst>
            </c:dLbl>
            <c:dLbl>
              <c:idx val="9"/>
              <c:layout>
                <c:manualLayout>
                  <c:x val="-2.778717077543221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AB-4AFF-A2F3-0BC105831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Janeiro - 2026'!$B$2:$B$11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'Soma dia - Janeiro - 2026'!$C$2:$C$11</c:f>
              <c:numCache>
                <c:formatCode>0.00%</c:formatCode>
                <c:ptCount val="10"/>
                <c:pt idx="0">
                  <c:v>0.26769999999999999</c:v>
                </c:pt>
                <c:pt idx="1">
                  <c:v>0.31280000000000002</c:v>
                </c:pt>
                <c:pt idx="2">
                  <c:v>0.45279999999999998</c:v>
                </c:pt>
                <c:pt idx="3">
                  <c:v>0.53410000000000002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AB-4AFF-A2F3-0BC105831B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8342224"/>
        <c:axId val="1658325904"/>
      </c:barChart>
      <c:catAx>
        <c:axId val="165834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325904"/>
        <c:crosses val="autoZero"/>
        <c:auto val="1"/>
        <c:lblAlgn val="ctr"/>
        <c:lblOffset val="100"/>
        <c:noMultiLvlLbl val="0"/>
      </c:catAx>
      <c:valAx>
        <c:axId val="16583259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6583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Inadimplência Diária Dezembro/2025 </a:t>
            </a:r>
          </a:p>
        </c:rich>
      </c:tx>
      <c:layout>
        <c:manualLayout>
          <c:xMode val="edge"/>
          <c:yMode val="edge"/>
          <c:x val="0.37209542219384739"/>
          <c:y val="1.841620626151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Janeiro - 2026'!$B$27:$B$28</c:f>
              <c:strCache>
                <c:ptCount val="2"/>
                <c:pt idx="0">
                  <c:v>Inadimplência Diária </c:v>
                </c:pt>
                <c:pt idx="1">
                  <c:v>Valor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1761184346338731E-3"/>
                  <c:y val="-4.25441395447792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5-4899-9E8D-293957884026}"/>
                </c:ext>
              </c:extLst>
            </c:dLbl>
            <c:dLbl>
              <c:idx val="1"/>
              <c:layout>
                <c:manualLayout>
                  <c:x val="-2.197183098591687E-3"/>
                  <c:y val="-4.60087416609164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5-4899-9E8D-293957884026}"/>
                </c:ext>
              </c:extLst>
            </c:dLbl>
            <c:dLbl>
              <c:idx val="2"/>
              <c:layout>
                <c:manualLayout>
                  <c:x val="-7.8309859154929579E-3"/>
                  <c:y val="-4.217419265596684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5-4899-9E8D-293957884026}"/>
                </c:ext>
              </c:extLst>
            </c:dLbl>
            <c:dLbl>
              <c:idx val="3"/>
              <c:layout>
                <c:manualLayout>
                  <c:x val="-3.1273408239700373E-3"/>
                  <c:y val="-3.22580645161286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45-4899-9E8D-293957884026}"/>
                </c:ext>
              </c:extLst>
            </c:dLbl>
            <c:dLbl>
              <c:idx val="4"/>
              <c:layout>
                <c:manualLayout>
                  <c:x val="-3.1835205992495632E-4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45-4899-9E8D-293957884026}"/>
                </c:ext>
              </c:extLst>
            </c:dLbl>
            <c:dLbl>
              <c:idx val="5"/>
              <c:layout>
                <c:manualLayout>
                  <c:x val="-4.06367041198515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5-4899-9E8D-293957884026}"/>
                </c:ext>
              </c:extLst>
            </c:dLbl>
            <c:dLbl>
              <c:idx val="6"/>
              <c:layout>
                <c:manualLayout>
                  <c:x val="-1.7228464419475654E-3"/>
                  <c:y val="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45-4899-9E8D-293957884026}"/>
                </c:ext>
              </c:extLst>
            </c:dLbl>
            <c:dLbl>
              <c:idx val="7"/>
              <c:layout>
                <c:manualLayout>
                  <c:x val="-3.1835205992509363E-4"/>
                  <c:y val="8.7209302325581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45-4899-9E8D-293957884026}"/>
                </c:ext>
              </c:extLst>
            </c:dLbl>
            <c:dLbl>
              <c:idx val="8"/>
              <c:layout>
                <c:manualLayout>
                  <c:x val="-4.5318352059925092E-3"/>
                  <c:y val="-5.81395348837212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45-4899-9E8D-293957884026}"/>
                </c:ext>
              </c:extLst>
            </c:dLbl>
            <c:dLbl>
              <c:idx val="9"/>
              <c:layout>
                <c:manualLayout>
                  <c:x val="-5.936329588015119E-3"/>
                  <c:y val="-2.9069767441860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45-4899-9E8D-293957884026}"/>
                </c:ext>
              </c:extLst>
            </c:dLbl>
            <c:dLbl>
              <c:idx val="10"/>
              <c:layout>
                <c:manualLayout>
                  <c:x val="-5.93632958801498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45-4899-9E8D-293957884026}"/>
                </c:ext>
              </c:extLst>
            </c:dLbl>
            <c:dLbl>
              <c:idx val="11"/>
              <c:layout>
                <c:manualLayout>
                  <c:x val="-8.7453183520600618E-3"/>
                  <c:y val="2.90697674418601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45-4899-9E8D-293957884026}"/>
                </c:ext>
              </c:extLst>
            </c:dLbl>
            <c:dLbl>
              <c:idx val="12"/>
              <c:layout>
                <c:manualLayout>
                  <c:x val="-5.93632958801498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45-4899-9E8D-293957884026}"/>
                </c:ext>
              </c:extLst>
            </c:dLbl>
            <c:dLbl>
              <c:idx val="13"/>
              <c:layout>
                <c:manualLayout>
                  <c:x val="-5.3118751586854239E-3"/>
                  <c:y val="-4.84494645466179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45-4899-9E8D-293957884026}"/>
                </c:ext>
              </c:extLst>
            </c:dLbl>
            <c:dLbl>
              <c:idx val="14"/>
              <c:layout>
                <c:manualLayout>
                  <c:x val="-2.5030163254184221E-3"/>
                  <c:y val="-1.19508698929187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45-4899-9E8D-293957884026}"/>
                </c:ext>
              </c:extLst>
            </c:dLbl>
            <c:dLbl>
              <c:idx val="15"/>
              <c:layout>
                <c:manualLayout>
                  <c:x val="-7.9860803916364381E-3"/>
                  <c:y val="3.2298439844092176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45-4899-9E8D-293957884026}"/>
                </c:ext>
              </c:extLst>
            </c:dLbl>
            <c:dLbl>
              <c:idx val="16"/>
              <c:layout>
                <c:manualLayout>
                  <c:x val="-7.652886208523663E-3"/>
                  <c:y val="1.4115986508761663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45-4899-9E8D-293957884026}"/>
                </c:ext>
              </c:extLst>
            </c:dLbl>
            <c:dLbl>
              <c:idx val="17"/>
              <c:layout>
                <c:manualLayout>
                  <c:x val="-5.586536750042179E-3"/>
                  <c:y val="-1.04074445848880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45-4899-9E8D-2939578840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Janeiro - 2026'!$B$29:$B$46</c:f>
              <c:numCache>
                <c:formatCode>#,##0.00</c:formatCode>
                <c:ptCount val="18"/>
                <c:pt idx="0">
                  <c:v>2727579.84</c:v>
                </c:pt>
                <c:pt idx="1">
                  <c:v>2798268.03</c:v>
                </c:pt>
                <c:pt idx="2">
                  <c:v>2863725.32</c:v>
                </c:pt>
                <c:pt idx="3">
                  <c:v>2910670.73</c:v>
                </c:pt>
                <c:pt idx="4">
                  <c:v>2946688.75</c:v>
                </c:pt>
                <c:pt idx="6">
                  <c:v>2987013.59</c:v>
                </c:pt>
                <c:pt idx="7">
                  <c:v>2995235.81</c:v>
                </c:pt>
                <c:pt idx="8">
                  <c:v>2987013.59</c:v>
                </c:pt>
                <c:pt idx="9">
                  <c:v>2933114.11</c:v>
                </c:pt>
                <c:pt idx="10">
                  <c:v>2878289.25</c:v>
                </c:pt>
                <c:pt idx="12">
                  <c:v>2995996.63</c:v>
                </c:pt>
                <c:pt idx="15">
                  <c:v>3235071.13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045-4899-9E8D-293957884026}"/>
            </c:ext>
          </c:extLst>
        </c:ser>
        <c:ser>
          <c:idx val="1"/>
          <c:order val="1"/>
          <c:tx>
            <c:strRef>
              <c:f>'Soma dia - Janeiro - 2026'!$C$27:$C$28</c:f>
              <c:strCache>
                <c:ptCount val="2"/>
                <c:pt idx="0">
                  <c:v>Inadimplência Diária </c:v>
                </c:pt>
                <c:pt idx="1">
                  <c:v>Dia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5018136777846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45-4899-9E8D-293957884026}"/>
                </c:ext>
              </c:extLst>
            </c:dLbl>
            <c:dLbl>
              <c:idx val="1"/>
              <c:layout>
                <c:manualLayout>
                  <c:x val="-5.2561266920286651E-3"/>
                  <c:y val="-4.95354481455612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45-4899-9E8D-293957884026}"/>
                </c:ext>
              </c:extLst>
            </c:dLbl>
            <c:dLbl>
              <c:idx val="2"/>
              <c:layout>
                <c:manualLayout>
                  <c:x val="-5.2564215989855199E-3"/>
                  <c:y val="-7.79966881410286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45-4899-9E8D-293957884026}"/>
                </c:ext>
              </c:extLst>
            </c:dLbl>
            <c:dLbl>
              <c:idx val="3"/>
              <c:layout>
                <c:manualLayout>
                  <c:x val="-2.6587336695272643E-3"/>
                  <c:y val="-4.25441395447777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45-4899-9E8D-293957884026}"/>
                </c:ext>
              </c:extLst>
            </c:dLbl>
            <c:dLbl>
              <c:idx val="4"/>
              <c:layout>
                <c:manualLayout>
                  <c:x val="-7.8769648176000467E-4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45-4899-9E8D-293957884026}"/>
                </c:ext>
              </c:extLst>
            </c:dLbl>
            <c:dLbl>
              <c:idx val="5"/>
              <c:layout>
                <c:manualLayout>
                  <c:x val="-7.8799138871685985E-4"/>
                  <c:y val="-3.83582662063674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45-4899-9E8D-293957884026}"/>
                </c:ext>
              </c:extLst>
            </c:dLbl>
            <c:dLbl>
              <c:idx val="6"/>
              <c:layout>
                <c:manualLayout>
                  <c:x val="3.4250493969152731E-3"/>
                  <c:y val="-2.9069767441860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45-4899-9E8D-293957884026}"/>
                </c:ext>
              </c:extLst>
            </c:dLbl>
            <c:dLbl>
              <c:idx val="7"/>
              <c:layout>
                <c:manualLayout>
                  <c:x val="-2.19322303813146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045-4899-9E8D-293957884026}"/>
                </c:ext>
              </c:extLst>
            </c:dLbl>
            <c:dLbl>
              <c:idx val="8"/>
              <c:layout>
                <c:manualLayout>
                  <c:x val="-2.1936653985667521E-3"/>
                  <c:y val="-5.8139534883720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045-4899-9E8D-293957884026}"/>
                </c:ext>
              </c:extLst>
            </c:dLbl>
            <c:dLbl>
              <c:idx val="9"/>
              <c:layout>
                <c:manualLayout>
                  <c:x val="-7.9035064437170074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045-4899-9E8D-293957884026}"/>
                </c:ext>
              </c:extLst>
            </c:dLbl>
            <c:dLbl>
              <c:idx val="10"/>
              <c:layout>
                <c:manualLayout>
                  <c:x val="-3.5996343153734994E-3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045-4899-9E8D-293957884026}"/>
                </c:ext>
              </c:extLst>
            </c:dLbl>
            <c:dLbl>
              <c:idx val="11"/>
              <c:layout>
                <c:manualLayout>
                  <c:x val="-5.0045710578312539E-3"/>
                  <c:y val="-1.16279069767441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045-4899-9E8D-293957884026}"/>
                </c:ext>
              </c:extLst>
            </c:dLbl>
            <c:dLbl>
              <c:idx val="12"/>
              <c:layout>
                <c:manualLayout>
                  <c:x val="-2.1960246542215931E-3"/>
                  <c:y val="-5.8139534883720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045-4899-9E8D-293957884026}"/>
                </c:ext>
              </c:extLst>
            </c:dLbl>
            <c:dLbl>
              <c:idx val="13"/>
              <c:layout>
                <c:manualLayout>
                  <c:x val="-2.8205154744289748E-3"/>
                  <c:y val="-5.490946215252543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045-4899-9E8D-293957884026}"/>
                </c:ext>
              </c:extLst>
            </c:dLbl>
            <c:dLbl>
              <c:idx val="14"/>
              <c:layout>
                <c:manualLayout>
                  <c:x val="-7.9296194521636721E-4"/>
                  <c:y val="-4.19891712277436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45-4899-9E8D-293957884026}"/>
                </c:ext>
              </c:extLst>
            </c:dLbl>
            <c:dLbl>
              <c:idx val="15"/>
              <c:layout>
                <c:manualLayout>
                  <c:x val="3.5523017487982542E-3"/>
                  <c:y val="-2.90697674418604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045-4899-9E8D-293957884026}"/>
                </c:ext>
              </c:extLst>
            </c:dLbl>
            <c:dLbl>
              <c:idx val="16"/>
              <c:layout>
                <c:manualLayout>
                  <c:x val="5.8537925754639254E-4"/>
                  <c:y val="-7.42890114007992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045-4899-9E8D-293957884026}"/>
                </c:ext>
              </c:extLst>
            </c:dLbl>
            <c:dLbl>
              <c:idx val="17"/>
              <c:layout>
                <c:manualLayout>
                  <c:x val="1.6702683090616818E-3"/>
                  <c:y val="-6.46972656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045-4899-9E8D-2939578840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'Soma dia - Janeiro - 2026'!$C$29:$C$46</c:f>
              <c:numCache>
                <c:formatCode>m/d/yyyy</c:formatCode>
                <c:ptCount val="18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045-4899-9E8D-2939578840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1342512"/>
        <c:axId val="281337712"/>
      </c:barChart>
      <c:catAx>
        <c:axId val="281342512"/>
        <c:scaling>
          <c:orientation val="minMax"/>
        </c:scaling>
        <c:delete val="1"/>
        <c:axPos val="l"/>
        <c:majorTickMark val="none"/>
        <c:minorTickMark val="none"/>
        <c:tickLblPos val="nextTo"/>
        <c:crossAx val="281337712"/>
        <c:crosses val="autoZero"/>
        <c:auto val="1"/>
        <c:lblAlgn val="ctr"/>
        <c:lblOffset val="100"/>
        <c:noMultiLvlLbl val="0"/>
      </c:catAx>
      <c:valAx>
        <c:axId val="281337712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28134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'Soma dia - Janeiro - 2026'!$U$1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0552922590837279E-3"/>
                  <c:y val="-4.629629629629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F8-44E0-87FE-EBED5FCAB850}"/>
                </c:ext>
              </c:extLst>
            </c:dLbl>
            <c:dLbl>
              <c:idx val="1"/>
              <c:layout>
                <c:manualLayout>
                  <c:x val="-1.105845181674565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F8-44E0-87FE-EBED5FCAB850}"/>
                </c:ext>
              </c:extLst>
            </c:dLbl>
            <c:dLbl>
              <c:idx val="2"/>
              <c:layout>
                <c:manualLayout>
                  <c:x val="-4.186413902053712E-3"/>
                  <c:y val="-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F8-44E0-87FE-EBED5FCAB850}"/>
                </c:ext>
              </c:extLst>
            </c:dLbl>
            <c:dLbl>
              <c:idx val="3"/>
              <c:layout>
                <c:manualLayout>
                  <c:x val="-4.186413902053712E-3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F8-44E0-87FE-EBED5FCAB850}"/>
                </c:ext>
              </c:extLst>
            </c:dLbl>
            <c:dLbl>
              <c:idx val="4"/>
              <c:layout>
                <c:manualLayout>
                  <c:x val="-5.5468341182626901E-3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F8-44E0-87FE-EBED5FCAB8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'Soma dia - Janeiro - 2026'!$T$2:$T$6</c:f>
              <c:strCache>
                <c:ptCount val="5"/>
                <c:pt idx="0">
                  <c:v>agosto</c:v>
                </c:pt>
                <c:pt idx="1">
                  <c:v>setembro</c:v>
                </c:pt>
                <c:pt idx="2">
                  <c:v>outubro</c:v>
                </c:pt>
                <c:pt idx="3">
                  <c:v>novembro</c:v>
                </c:pt>
                <c:pt idx="4">
                  <c:v>dezembro</c:v>
                </c:pt>
              </c:strCache>
            </c:strRef>
          </c:cat>
          <c:val>
            <c:numRef>
              <c:f>'Soma dia - Janeiro - 2026'!$U$2:$U$6</c:f>
              <c:numCache>
                <c:formatCode>0.00%</c:formatCode>
                <c:ptCount val="5"/>
                <c:pt idx="0">
                  <c:v>3.49E-2</c:v>
                </c:pt>
                <c:pt idx="1">
                  <c:v>5.8500000000000003E-2</c:v>
                </c:pt>
                <c:pt idx="2">
                  <c:v>0.19309999999999999</c:v>
                </c:pt>
                <c:pt idx="3">
                  <c:v>0.32379999999999998</c:v>
                </c:pt>
                <c:pt idx="4">
                  <c:v>0.1457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F8-44E0-87FE-EBED5FCAB8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45495296"/>
        <c:axId val="1545491456"/>
      </c:barChart>
      <c:catAx>
        <c:axId val="154549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491456"/>
        <c:crosses val="autoZero"/>
        <c:auto val="1"/>
        <c:lblAlgn val="ctr"/>
        <c:lblOffset val="100"/>
        <c:noMultiLvlLbl val="0"/>
      </c:catAx>
      <c:valAx>
        <c:axId val="15454914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5454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 i="0">
                <a:effectLst/>
              </a:rPr>
              <a:t>Tendência Mensal de Inadimplência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Tendencia!$B$1</c:f>
              <c:strCache>
                <c:ptCount val="1"/>
                <c:pt idx="0">
                  <c:v>Emitido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Tendencia!$A$2:$A$15</c:f>
              <c:numCache>
                <c:formatCode>mmm\-yy</c:formatCode>
                <c:ptCount val="14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</c:numCache>
            </c:numRef>
          </c:cat>
          <c:val>
            <c:numRef>
              <c:f>Tendencia!$B$2:$B$15</c:f>
              <c:numCache>
                <c:formatCode>"R$"\ #,##0.00</c:formatCode>
                <c:ptCount val="14"/>
                <c:pt idx="0">
                  <c:v>13135.81</c:v>
                </c:pt>
                <c:pt idx="1">
                  <c:v>104904.72</c:v>
                </c:pt>
                <c:pt idx="2">
                  <c:v>115221.56</c:v>
                </c:pt>
                <c:pt idx="3">
                  <c:v>228348.86</c:v>
                </c:pt>
                <c:pt idx="4">
                  <c:v>385626.33</c:v>
                </c:pt>
                <c:pt idx="5">
                  <c:v>353974.52</c:v>
                </c:pt>
                <c:pt idx="6">
                  <c:v>964347.28</c:v>
                </c:pt>
                <c:pt idx="7">
                  <c:v>1610234.62</c:v>
                </c:pt>
                <c:pt idx="8">
                  <c:v>2241199.75</c:v>
                </c:pt>
                <c:pt idx="9">
                  <c:v>3192508.23</c:v>
                </c:pt>
                <c:pt idx="10">
                  <c:v>3165351.93</c:v>
                </c:pt>
                <c:pt idx="11">
                  <c:v>3814168.2</c:v>
                </c:pt>
                <c:pt idx="12">
                  <c:v>7973054.3899999997</c:v>
                </c:pt>
                <c:pt idx="13">
                  <c:v>6453009.9400000004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7-428D-BADA-3B176749662E}"/>
            </c:ext>
          </c:extLst>
        </c:ser>
        <c:ser>
          <c:idx val="1"/>
          <c:order val="1"/>
          <c:tx>
            <c:strRef>
              <c:f>Tendencia!$C$1</c:f>
              <c:strCache>
                <c:ptCount val="1"/>
                <c:pt idx="0">
                  <c:v>Inadimplente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Tendencia!$A$2:$A$15</c:f>
              <c:numCache>
                <c:formatCode>mmm\-yy</c:formatCode>
                <c:ptCount val="14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</c:numCache>
            </c:numRef>
          </c:cat>
          <c:val>
            <c:numRef>
              <c:f>Tendencia!$C$2:$C$15</c:f>
              <c:numCache>
                <c:formatCode>"R$"\ #,##0.00</c:formatCode>
                <c:ptCount val="14"/>
                <c:pt idx="0">
                  <c:v>178.12</c:v>
                </c:pt>
                <c:pt idx="1">
                  <c:v>9896.1299999999992</c:v>
                </c:pt>
                <c:pt idx="2">
                  <c:v>7128.95</c:v>
                </c:pt>
                <c:pt idx="3">
                  <c:v>21232.74</c:v>
                </c:pt>
                <c:pt idx="4">
                  <c:v>35812.879999999997</c:v>
                </c:pt>
                <c:pt idx="5">
                  <c:v>57904.02</c:v>
                </c:pt>
                <c:pt idx="6">
                  <c:v>165426.82</c:v>
                </c:pt>
                <c:pt idx="7">
                  <c:v>324916.81</c:v>
                </c:pt>
                <c:pt idx="8">
                  <c:v>617633.9</c:v>
                </c:pt>
                <c:pt idx="9">
                  <c:v>1498609.23</c:v>
                </c:pt>
                <c:pt idx="10">
                  <c:v>847282.1</c:v>
                </c:pt>
                <c:pt idx="11">
                  <c:v>1191738.82</c:v>
                </c:pt>
                <c:pt idx="12">
                  <c:v>3607378.39</c:v>
                </c:pt>
                <c:pt idx="13">
                  <c:v>3441791.82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7-428D-BADA-3B176749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11802384"/>
        <c:axId val="511800944"/>
      </c:barChart>
      <c:lineChart>
        <c:grouping val="standard"/>
        <c:varyColors val="0"/>
        <c:ser>
          <c:idx val="2"/>
          <c:order val="2"/>
          <c:tx>
            <c:strRef>
              <c:f>Tendencia!$D$1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Tendencia!$A$2:$A$15</c:f>
              <c:numCache>
                <c:formatCode>mmm\-yy</c:formatCode>
                <c:ptCount val="14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</c:numCache>
            </c:numRef>
          </c:cat>
          <c:val>
            <c:numRef>
              <c:f>Tendencia!$D$2:$D$15</c:f>
              <c:numCache>
                <c:formatCode>0.00%</c:formatCode>
                <c:ptCount val="14"/>
                <c:pt idx="0">
                  <c:v>1.3559879444054079E-2</c:v>
                </c:pt>
                <c:pt idx="1">
                  <c:v>9.433445892615698E-2</c:v>
                </c:pt>
                <c:pt idx="2">
                  <c:v>6.1871667073419248E-2</c:v>
                </c:pt>
                <c:pt idx="3">
                  <c:v>9.2983779292789129E-2</c:v>
                </c:pt>
                <c:pt idx="4">
                  <c:v>9.2869384722770343E-2</c:v>
                </c:pt>
                <c:pt idx="5">
                  <c:v>0.16358245220588191</c:v>
                </c:pt>
                <c:pt idx="6">
                  <c:v>0.17154278695119046</c:v>
                </c:pt>
                <c:pt idx="7">
                  <c:v>0.20178227816266922</c:v>
                </c:pt>
                <c:pt idx="8">
                  <c:v>0.27558181728335462</c:v>
                </c:pt>
                <c:pt idx="9">
                  <c:v>0.46941436702263412</c:v>
                </c:pt>
                <c:pt idx="10">
                  <c:v>0.26767390127138246</c:v>
                </c:pt>
                <c:pt idx="11">
                  <c:v>0.31245051542299579</c:v>
                </c:pt>
                <c:pt idx="12">
                  <c:v>0.45244622870307549</c:v>
                </c:pt>
                <c:pt idx="13">
                  <c:v>0.53336223746774514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7-428D-BADA-3B176749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799984"/>
        <c:axId val="511795184"/>
      </c:lineChart>
      <c:dateAx>
        <c:axId val="511802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800944"/>
        <c:crosses val="autoZero"/>
        <c:auto val="1"/>
        <c:lblOffset val="100"/>
        <c:baseTimeUnit val="months"/>
      </c:dateAx>
      <c:valAx>
        <c:axId val="51180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802384"/>
        <c:crosses val="autoZero"/>
        <c:crossBetween val="between"/>
      </c:valAx>
      <c:valAx>
        <c:axId val="5117951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799984"/>
        <c:crosses val="max"/>
        <c:crossBetween val="between"/>
      </c:valAx>
      <c:dateAx>
        <c:axId val="51179998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1179518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25000"/>
                  </a:schemeClr>
                </a:solidFill>
              </a:rPr>
              <a:t>STATUS DA BASE</a:t>
            </a:r>
          </a:p>
        </c:rich>
      </c:tx>
      <c:layout>
        <c:manualLayout>
          <c:xMode val="edge"/>
          <c:yMode val="edge"/>
          <c:x val="0.35132990680004733"/>
          <c:y val="2.89518127782773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02301298314339E-2"/>
          <c:y val="0.17819160104986875"/>
          <c:w val="0.89516017509497459"/>
          <c:h val="0.6310793234179060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Em Negociação</c:v>
              </c:pt>
              <c:pt idx="1">
                <c:v>Sem Interesse</c:v>
              </c:pt>
              <c:pt idx="2">
                <c:v>Sem Condições</c:v>
              </c:pt>
              <c:pt idx="3">
                <c:v>Sem Contato</c:v>
              </c:pt>
              <c:pt idx="4">
                <c:v>Não Localizado</c:v>
              </c:pt>
              <c:pt idx="5">
                <c:v>Falecido</c:v>
              </c:pt>
            </c:strLit>
          </c:cat>
          <c:val>
            <c:numLit>
              <c:formatCode>General</c:formatCode>
              <c:ptCount val="6"/>
              <c:pt idx="0">
                <c:v>148</c:v>
              </c:pt>
              <c:pt idx="1">
                <c:v>393</c:v>
              </c:pt>
              <c:pt idx="2">
                <c:v>26</c:v>
              </c:pt>
              <c:pt idx="3">
                <c:v>318</c:v>
              </c:pt>
              <c:pt idx="4">
                <c:v>1262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CC55-434B-A6D4-6527C8E1B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70"/>
        <c:axId val="660771616"/>
        <c:axId val="660772336"/>
      </c:barChart>
      <c:catAx>
        <c:axId val="66077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0772336"/>
        <c:crosses val="autoZero"/>
        <c:auto val="1"/>
        <c:lblAlgn val="ctr"/>
        <c:lblOffset val="100"/>
        <c:noMultiLvlLbl val="0"/>
      </c:catAx>
      <c:valAx>
        <c:axId val="660772336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6">
                      <a:lumMod val="20000"/>
                      <a:lumOff val="80000"/>
                    </a:schemeClr>
                  </a:gs>
                  <a:gs pos="74000">
                    <a:schemeClr val="accent6">
                      <a:lumMod val="60000"/>
                      <a:lumOff val="40000"/>
                    </a:schemeClr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  <a:tileRect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07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649B3F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679837</xdr:colOff>
      <xdr:row>19</xdr:row>
      <xdr:rowOff>173645</xdr:rowOff>
    </xdr:from>
    <xdr:to>
      <xdr:col>15</xdr:col>
      <xdr:colOff>609104</xdr:colOff>
      <xdr:row>44</xdr:row>
      <xdr:rowOff>64356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47C8DE-98C5-1175-CD55-A46C003A0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578789</xdr:colOff>
      <xdr:row>0</xdr:row>
      <xdr:rowOff>67337</xdr:rowOff>
    </xdr:from>
    <xdr:to>
      <xdr:col>11</xdr:col>
      <xdr:colOff>545327</xdr:colOff>
      <xdr:row>19</xdr:row>
      <xdr:rowOff>67337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04CF3D-A178-49EF-90E5-1495838723C5}"/>
            </a:ext>
            <a:ext uri="{147F2762-F138-4A5C-976F-8EAC2B608ADB}">
              <a16:predDERef xmlns:a16="http://schemas.microsoft.com/office/drawing/2014/main" pred="{9847C8DE-98C5-1175-CD55-A46C003A0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400712</xdr:colOff>
      <xdr:row>62</xdr:row>
      <xdr:rowOff>110988</xdr:rowOff>
    </xdr:from>
    <xdr:to>
      <xdr:col>14</xdr:col>
      <xdr:colOff>165652</xdr:colOff>
      <xdr:row>77</xdr:row>
      <xdr:rowOff>126642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18A6AEC-14B7-14BB-D21C-066C900589A5}"/>
            </a:ext>
            <a:ext uri="{147F2762-F138-4A5C-976F-8EAC2B608ADB}">
              <a16:predDERef xmlns:a16="http://schemas.microsoft.com/office/drawing/2014/main" pred="{3C04CF3D-A178-49EF-90E5-149583872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1645920</xdr:colOff>
      <xdr:row>22</xdr:row>
      <xdr:rowOff>134301</xdr:rowOff>
    </xdr:from>
    <xdr:to>
      <xdr:col>13</xdr:col>
      <xdr:colOff>472440</xdr:colOff>
      <xdr:row>41</xdr:row>
      <xdr:rowOff>19049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34C5CB-BA53-7A64-76B6-8B81D89F2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</xdr:colOff>
      <xdr:row>0</xdr:row>
      <xdr:rowOff>82867</xdr:rowOff>
    </xdr:from>
    <xdr:to>
      <xdr:col>10</xdr:col>
      <xdr:colOff>325755</xdr:colOff>
      <xdr:row>17</xdr:row>
      <xdr:rowOff>105727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8FC8C3-D7B7-F3FB-3838-453FF07EA755}"/>
            </a:ext>
            <a:ext uri="{147F2762-F138-4A5C-976F-8EAC2B608ADB}">
              <a16:predDERef xmlns:a16="http://schemas.microsoft.com/office/drawing/2014/main" pred="{A534C5CB-BA53-7A64-76B6-8B81D89F2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207644</xdr:colOff>
      <xdr:row>68</xdr:row>
      <xdr:rowOff>98107</xdr:rowOff>
    </xdr:from>
    <xdr:to>
      <xdr:col>14</xdr:col>
      <xdr:colOff>586740</xdr:colOff>
      <xdr:row>83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F18A24-8E4B-1188-2371-70B5F949572A}"/>
            </a:ext>
            <a:ext uri="{147F2762-F138-4A5C-976F-8EAC2B608ADB}">
              <a16:predDERef xmlns:a16="http://schemas.microsoft.com/office/drawing/2014/main" pred="{478FC8C3-D7B7-F3FB-3838-453FF07EA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16</xdr:row>
      <xdr:rowOff>122872</xdr:rowOff>
    </xdr:from>
    <xdr:to>
      <xdr:col>17</xdr:col>
      <xdr:colOff>274320</xdr:colOff>
      <xdr:row>51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75F95A-1AC4-0541-B3EB-67A03BB7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</xdr:row>
      <xdr:rowOff>104775</xdr:rowOff>
    </xdr:from>
    <xdr:to>
      <xdr:col>11</xdr:col>
      <xdr:colOff>152400</xdr:colOff>
      <xdr:row>3</xdr:row>
      <xdr:rowOff>19050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E4072F0-150A-B526-3993-86B4C1E990DA}"/>
            </a:ext>
          </a:extLst>
        </xdr:cNvPr>
        <xdr:cNvSpPr txBox="1"/>
      </xdr:nvSpPr>
      <xdr:spPr>
        <a:xfrm>
          <a:off x="7010400" y="285750"/>
          <a:ext cx="25241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1129665</xdr:colOff>
      <xdr:row>0</xdr:row>
      <xdr:rowOff>100012</xdr:rowOff>
    </xdr:from>
    <xdr:to>
      <xdr:col>11</xdr:col>
      <xdr:colOff>512445</xdr:colOff>
      <xdr:row>15</xdr:row>
      <xdr:rowOff>136207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E27A8C-B590-AC6E-5434-D3A970416D90}"/>
            </a:ext>
            <a:ext uri="{147F2762-F138-4A5C-976F-8EAC2B608ADB}">
              <a16:predDERef xmlns:a16="http://schemas.microsoft.com/office/drawing/2014/main" pred="{4E4072F0-150A-B526-3993-86B4C1E99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449580</xdr:colOff>
      <xdr:row>69</xdr:row>
      <xdr:rowOff>153352</xdr:rowOff>
    </xdr:from>
    <xdr:to>
      <xdr:col>17</xdr:col>
      <xdr:colOff>487679</xdr:colOff>
      <xdr:row>101</xdr:row>
      <xdr:rowOff>10477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5AA5BC1-1728-6989-8F45-6ABFB77BB644}"/>
            </a:ext>
            <a:ext uri="{147F2762-F138-4A5C-976F-8EAC2B608ADB}">
              <a16:predDERef xmlns:a16="http://schemas.microsoft.com/office/drawing/2014/main" pred="{04E27A8C-B590-AC6E-5434-D3A970416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0</xdr:row>
      <xdr:rowOff>125730</xdr:rowOff>
    </xdr:from>
    <xdr:to>
      <xdr:col>8</xdr:col>
      <xdr:colOff>45720</xdr:colOff>
      <xdr:row>15</xdr:row>
      <xdr:rowOff>125730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0C092E-7975-B977-FD15-7BCC38241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388620</xdr:colOff>
      <xdr:row>16</xdr:row>
      <xdr:rowOff>62865</xdr:rowOff>
    </xdr:from>
    <xdr:to>
      <xdr:col>11</xdr:col>
      <xdr:colOff>868680</xdr:colOff>
      <xdr:row>46</xdr:row>
      <xdr:rowOff>129540</xdr:rowOff>
    </xdr:to>
    <xdr:graphicFrame macro="">
      <xdr:nvGraphicFramePr>
        <xdr:cNvPr id="10" name="Gráfico 6">
          <a:extLst>
            <a:ext uri="{FF2B5EF4-FFF2-40B4-BE49-F238E27FC236}">
              <a16:creationId xmlns:a16="http://schemas.microsoft.com/office/drawing/2014/main" id="{E7FC6B43-0CC7-CEB9-A660-4EF7B6DDA9AA}"/>
            </a:ext>
            <a:ext uri="{147F2762-F138-4A5C-976F-8EAC2B608ADB}">
              <a16:predDERef xmlns:a16="http://schemas.microsoft.com/office/drawing/2014/main" pred="{EC0C092E-7975-B977-FD15-7BCC38241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1076549</xdr:colOff>
      <xdr:row>18</xdr:row>
      <xdr:rowOff>62865</xdr:rowOff>
    </xdr:from>
    <xdr:to>
      <xdr:col>8</xdr:col>
      <xdr:colOff>392206</xdr:colOff>
      <xdr:row>19</xdr:row>
      <xdr:rowOff>173355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AB2E7F7-8C2B-1912-DE4A-166EBF70316B}"/>
            </a:ext>
          </a:extLst>
        </xdr:cNvPr>
        <xdr:cNvSpPr txBox="1"/>
      </xdr:nvSpPr>
      <xdr:spPr>
        <a:xfrm>
          <a:off x="8416402" y="3290159"/>
          <a:ext cx="2610186" cy="289784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ysClr val="windowText" lastClr="000000"/>
              </a:solidFill>
            </a:rPr>
            <a:t>Inadimplência Diária - Novembro/25</a:t>
          </a:r>
        </a:p>
      </xdr:txBody>
    </xdr:sp>
    <xdr:clientData/>
  </xdr:twoCellAnchor>
  <xdr:twoCellAnchor>
    <xdr:from>
      <xdr:col>5</xdr:col>
      <xdr:colOff>472440</xdr:colOff>
      <xdr:row>79</xdr:row>
      <xdr:rowOff>57150</xdr:rowOff>
    </xdr:from>
    <xdr:to>
      <xdr:col>12</xdr:col>
      <xdr:colOff>358140</xdr:colOff>
      <xdr:row>108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61079F-AC11-22DE-7057-0F958A48E789}"/>
            </a:ext>
            <a:ext uri="{147F2762-F138-4A5C-976F-8EAC2B608ADB}">
              <a16:predDERef xmlns:a16="http://schemas.microsoft.com/office/drawing/2014/main" pred="{0AB2E7F7-8C2B-1912-DE4A-166EBF70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0</xdr:row>
      <xdr:rowOff>26670</xdr:rowOff>
    </xdr:from>
    <xdr:to>
      <xdr:col>16</xdr:col>
      <xdr:colOff>563880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F760F0-6DD2-0923-37FA-0F8537E72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18</xdr:row>
      <xdr:rowOff>0</xdr:rowOff>
    </xdr:from>
    <xdr:to>
      <xdr:col>15</xdr:col>
      <xdr:colOff>514350</xdr:colOff>
      <xdr:row>38</xdr:row>
      <xdr:rowOff>142875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BE096E1D-C34D-3FD8-1CD6-B5A059F62181}"/>
            </a:ext>
            <a:ext uri="{147F2762-F138-4A5C-976F-8EAC2B608ADB}">
              <a16:predDERef xmlns:a16="http://schemas.microsoft.com/office/drawing/2014/main" pred="{A3F760F0-6DD2-0923-37FA-0F8537E72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350520</xdr:colOff>
      <xdr:row>0</xdr:row>
      <xdr:rowOff>118110</xdr:rowOff>
    </xdr:from>
    <xdr:to>
      <xdr:col>32</xdr:col>
      <xdr:colOff>76200</xdr:colOff>
      <xdr:row>16</xdr:row>
      <xdr:rowOff>118110</xdr:rowOff>
    </xdr:to>
    <xdr:graphicFrame macro="">
      <xdr:nvGraphicFramePr>
        <xdr:cNvPr id="21" name="Gráfico 2">
          <a:extLst>
            <a:ext uri="{FF2B5EF4-FFF2-40B4-BE49-F238E27FC236}">
              <a16:creationId xmlns:a16="http://schemas.microsoft.com/office/drawing/2014/main" id="{8905CB84-7FB6-5E42-36DF-F5D12ED50A47}"/>
            </a:ext>
            <a:ext uri="{147F2762-F138-4A5C-976F-8EAC2B608ADB}">
              <a16:predDERef xmlns:a16="http://schemas.microsoft.com/office/drawing/2014/main" pred="{BE096E1D-C34D-3FD8-1CD6-B5A059F62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0</xdr:row>
      <xdr:rowOff>26670</xdr:rowOff>
    </xdr:from>
    <xdr:to>
      <xdr:col>16</xdr:col>
      <xdr:colOff>563880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83D009-3F9D-46E6-A118-2A036A6E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18</xdr:row>
      <xdr:rowOff>38100</xdr:rowOff>
    </xdr:from>
    <xdr:to>
      <xdr:col>15</xdr:col>
      <xdr:colOff>400050</xdr:colOff>
      <xdr:row>39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212009-E481-4DDA-A78B-3BD72900F15C}"/>
            </a:ext>
            <a:ext uri="{147F2762-F138-4A5C-976F-8EAC2B608ADB}">
              <a16:predDERef xmlns:a16="http://schemas.microsoft.com/office/drawing/2014/main" pred="{9083D009-3F9D-46E6-A118-2A036A6E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350520</xdr:colOff>
      <xdr:row>0</xdr:row>
      <xdr:rowOff>118110</xdr:rowOff>
    </xdr:from>
    <xdr:to>
      <xdr:col>32</xdr:col>
      <xdr:colOff>76200</xdr:colOff>
      <xdr:row>16</xdr:row>
      <xdr:rowOff>118110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4AEF664B-7804-48D8-A6D5-83571FFF37FD}"/>
            </a:ext>
            <a:ext uri="{147F2762-F138-4A5C-976F-8EAC2B608ADB}">
              <a16:predDERef xmlns:a16="http://schemas.microsoft.com/office/drawing/2014/main" pred="{D6212009-E481-4DDA-A78B-3BD72900F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166687</xdr:rowOff>
    </xdr:from>
    <xdr:to>
      <xdr:col>14</xdr:col>
      <xdr:colOff>95250</xdr:colOff>
      <xdr:row>15</xdr:row>
      <xdr:rowOff>52387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07FC396D-D514-4909-A977-8EBB011E2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771524</xdr:colOff>
      <xdr:row>0</xdr:row>
      <xdr:rowOff>76200</xdr:rowOff>
    </xdr:from>
    <xdr:to>
      <xdr:col>11</xdr:col>
      <xdr:colOff>9524</xdr:colOff>
      <xdr:row>3</xdr:row>
      <xdr:rowOff>116700</xdr:rowOff>
    </xdr:to>
    <xdr:sp macro="" textlink="">
      <xdr:nvSpPr>
        <xdr:cNvPr id="2" name="Retângulo: Único Canto Arredondado 1">
          <a:extLst>
            <a:ext uri="{FF2B5EF4-FFF2-40B4-BE49-F238E27FC236}">
              <a16:creationId xmlns:a16="http://schemas.microsoft.com/office/drawing/2014/main" id="{159B9FA3-B560-4051-B706-D2A2BB3E7A6A}"/>
            </a:ext>
          </a:extLst>
        </xdr:cNvPr>
        <xdr:cNvSpPr/>
      </xdr:nvSpPr>
      <xdr:spPr>
        <a:xfrm>
          <a:off x="590549" y="76200"/>
          <a:ext cx="9382125" cy="612000"/>
        </a:xfrm>
        <a:prstGeom prst="round1Rect">
          <a:avLst/>
        </a:prstGeom>
        <a:solidFill>
          <a:schemeClr val="accent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000" b="0" i="1" u="none" strike="noStrike">
              <a:solidFill>
                <a:srgbClr val="FFFFFF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Diário Alexandria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771524</xdr:colOff>
      <xdr:row>0</xdr:row>
      <xdr:rowOff>76200</xdr:rowOff>
    </xdr:from>
    <xdr:to>
      <xdr:col>11</xdr:col>
      <xdr:colOff>9524</xdr:colOff>
      <xdr:row>3</xdr:row>
      <xdr:rowOff>116700</xdr:rowOff>
    </xdr:to>
    <xdr:sp macro="" textlink="">
      <xdr:nvSpPr>
        <xdr:cNvPr id="2" name="Retângulo: Único Canto Arredondado 1">
          <a:extLst>
            <a:ext uri="{FF2B5EF4-FFF2-40B4-BE49-F238E27FC236}">
              <a16:creationId xmlns:a16="http://schemas.microsoft.com/office/drawing/2014/main" id="{3FDEC86B-DCF6-4F50-885A-5313AE2C6275}"/>
            </a:ext>
          </a:extLst>
        </xdr:cNvPr>
        <xdr:cNvSpPr/>
      </xdr:nvSpPr>
      <xdr:spPr>
        <a:xfrm>
          <a:off x="773429" y="76200"/>
          <a:ext cx="11363325" cy="583425"/>
        </a:xfrm>
        <a:prstGeom prst="round1Rect">
          <a:avLst/>
        </a:prstGeom>
        <a:solidFill>
          <a:schemeClr val="accent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000" b="0" i="1" u="none" strike="noStrike">
              <a:solidFill>
                <a:srgbClr val="FFFFFF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Diário Alexandria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4</xdr:row>
      <xdr:rowOff>22860</xdr:rowOff>
    </xdr:from>
    <xdr:to>
      <xdr:col>1</xdr:col>
      <xdr:colOff>1160145</xdr:colOff>
      <xdr:row>13</xdr:row>
      <xdr:rowOff>146685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STATUS">
              <a:extLst>
                <a:ext uri="{FF2B5EF4-FFF2-40B4-BE49-F238E27FC236}">
                  <a16:creationId xmlns:a16="http://schemas.microsoft.com/office/drawing/2014/main" id="{27A818CC-8C5B-4542-93E4-55C789ECCC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" y="754380"/>
              <a:ext cx="143637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47624</xdr:colOff>
      <xdr:row>3</xdr:row>
      <xdr:rowOff>180974</xdr:rowOff>
    </xdr:from>
    <xdr:to>
      <xdr:col>8</xdr:col>
      <xdr:colOff>1001999</xdr:colOff>
      <xdr:row>21</xdr:row>
      <xdr:rowOff>92414</xdr:rowOff>
    </xdr:to>
    <xdr:graphicFrame macro="">
      <xdr:nvGraphicFramePr>
        <xdr:cNvPr id="15" name="Gráfico 2">
          <a:extLst>
            <a:ext uri="{FF2B5EF4-FFF2-40B4-BE49-F238E27FC236}">
              <a16:creationId xmlns:a16="http://schemas.microsoft.com/office/drawing/2014/main" id="{CFEB629C-F92C-4D58-977B-28A672C945C9}"/>
            </a:ext>
            <a:ext uri="{147F2762-F138-4A5C-976F-8EAC2B608ADB}">
              <a16:predDERef xmlns:a16="http://schemas.microsoft.com/office/drawing/2014/main" pred="{27A818CC-8C5B-4542-93E4-55C789ECC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125728</xdr:colOff>
      <xdr:row>11</xdr:row>
      <xdr:rowOff>173356</xdr:rowOff>
    </xdr:from>
    <xdr:ext cx="4050031" cy="1741169"/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3" name="DT_ACION">
              <a:extLst>
                <a:ext uri="{FF2B5EF4-FFF2-40B4-BE49-F238E27FC236}">
                  <a16:creationId xmlns:a16="http://schemas.microsoft.com/office/drawing/2014/main" id="{DE5E7E6C-711F-43D6-85D4-41989D299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T_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2234" y="2160271"/>
              <a:ext cx="3397334" cy="17411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oneCellAnchor>
  <xdr:twoCellAnchor>
    <xdr:from>
      <xdr:col>0</xdr:col>
      <xdr:colOff>320040</xdr:colOff>
      <xdr:row>0</xdr:row>
      <xdr:rowOff>91440</xdr:rowOff>
    </xdr:from>
    <xdr:to>
      <xdr:col>11</xdr:col>
      <xdr:colOff>15240</xdr:colOff>
      <xdr:row>3</xdr:row>
      <xdr:rowOff>133845</xdr:rowOff>
    </xdr:to>
    <xdr:sp macro="" textlink="">
      <xdr:nvSpPr>
        <xdr:cNvPr id="6" name="Retângulo: Único Canto Arredondado 5">
          <a:extLst>
            <a:ext uri="{FF2B5EF4-FFF2-40B4-BE49-F238E27FC236}">
              <a16:creationId xmlns:a16="http://schemas.microsoft.com/office/drawing/2014/main" id="{CEBEF5C6-3BD0-F75A-E357-6C748249110A}"/>
            </a:ext>
          </a:extLst>
        </xdr:cNvPr>
        <xdr:cNvSpPr/>
      </xdr:nvSpPr>
      <xdr:spPr>
        <a:xfrm>
          <a:off x="320040" y="91440"/>
          <a:ext cx="7762875" cy="585330"/>
        </a:xfrm>
        <a:prstGeom prst="round1Rect">
          <a:avLst/>
        </a:prstGeom>
        <a:solidFill>
          <a:schemeClr val="accent2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3000" b="0" i="1" u="none" strike="noStrike">
              <a:solidFill>
                <a:srgbClr val="FFFFFF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Status Alexandria</a:t>
          </a:r>
        </a:p>
      </xdr:txBody>
    </xdr:sp>
    <xdr:clientData/>
  </xdr:twoCellAnchor>
  <xdr:twoCellAnchor>
    <xdr:from>
      <xdr:col>9</xdr:col>
      <xdr:colOff>161925</xdr:colOff>
      <xdr:row>15</xdr:row>
      <xdr:rowOff>38100</xdr:rowOff>
    </xdr:from>
    <xdr:to>
      <xdr:col>9</xdr:col>
      <xdr:colOff>676275</xdr:colOff>
      <xdr:row>16</xdr:row>
      <xdr:rowOff>123825</xdr:rowOff>
    </xdr:to>
    <xdr:sp macro="" textlink="">
      <xdr:nvSpPr>
        <xdr:cNvPr id="7" name="CaixaDeTexto 10">
          <a:extLst>
            <a:ext uri="{FF2B5EF4-FFF2-40B4-BE49-F238E27FC236}">
              <a16:creationId xmlns:a16="http://schemas.microsoft.com/office/drawing/2014/main" id="{8B18A03B-C694-B257-51BF-4F83A23EC462}"/>
            </a:ext>
            <a:ext uri="{147F2762-F138-4A5C-976F-8EAC2B608ADB}">
              <a16:predDERef xmlns:a16="http://schemas.microsoft.com/office/drawing/2014/main" pred="{CEBEF5C6-3BD0-F75A-E357-6C748249110A}"/>
            </a:ext>
          </a:extLst>
        </xdr:cNvPr>
        <xdr:cNvSpPr txBox="1"/>
      </xdr:nvSpPr>
      <xdr:spPr>
        <a:xfrm>
          <a:off x="6448425" y="2895600"/>
          <a:ext cx="5143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2025</a:t>
          </a:r>
        </a:p>
        <a:p>
          <a:pPr marL="0" indent="0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9</xdr:col>
      <xdr:colOff>685800</xdr:colOff>
      <xdr:row>11</xdr:row>
      <xdr:rowOff>144780</xdr:rowOff>
    </xdr:from>
    <xdr:ext cx="184731" cy="264560"/>
    <xdr:sp macro="" textlink="">
      <xdr:nvSpPr>
        <xdr:cNvPr id="18" name="CaixaDeTexto 11">
          <a:extLst>
            <a:ext uri="{FF2B5EF4-FFF2-40B4-BE49-F238E27FC236}">
              <a16:creationId xmlns:a16="http://schemas.microsoft.com/office/drawing/2014/main" id="{12A019B9-0BF4-6325-6739-220E17FAB382}"/>
            </a:ext>
          </a:extLst>
        </xdr:cNvPr>
        <xdr:cNvSpPr txBox="1"/>
      </xdr:nvSpPr>
      <xdr:spPr>
        <a:xfrm>
          <a:off x="7010400" y="2156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9</xdr:col>
      <xdr:colOff>180975</xdr:colOff>
      <xdr:row>13</xdr:row>
      <xdr:rowOff>66675</xdr:rowOff>
    </xdr:from>
    <xdr:to>
      <xdr:col>9</xdr:col>
      <xdr:colOff>676275</xdr:colOff>
      <xdr:row>14</xdr:row>
      <xdr:rowOff>152400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A3574909-C609-4C15-A820-A60A46F84691}"/>
            </a:ext>
            <a:ext uri="{147F2762-F138-4A5C-976F-8EAC2B608ADB}">
              <a16:predDERef xmlns:a16="http://schemas.microsoft.com/office/drawing/2014/main" pred="{12A019B9-0BF4-6325-6739-220E17FAB382}"/>
            </a:ext>
          </a:extLst>
        </xdr:cNvPr>
        <xdr:cNvSpPr txBox="1"/>
      </xdr:nvSpPr>
      <xdr:spPr>
        <a:xfrm>
          <a:off x="6467475" y="2543175"/>
          <a:ext cx="4953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2025</a:t>
          </a:r>
        </a:p>
        <a:p>
          <a:pPr marL="0" indent="0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claudineia_miranda_alexandria_solar/Documents/FECHAMENTO%20OUT%202024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" refreshedDate="45596.679965277777" createdVersion="8" refreshedVersion="8" minRefreshableVersion="3" recordCount="3077" xr:uid="{CA994E89-45C2-4CE7-8D73-7763133588F5}">
  <cacheSource type="worksheet">
    <worksheetSource ref="A1:S3078" sheet="Ult.Aciona" r:id="rId2"/>
  </cacheSource>
  <cacheFields count="19">
    <cacheField name="NOME_CLI" numFmtId="0">
      <sharedItems/>
    </cacheField>
    <cacheField name="CONTRATO" numFmtId="0">
      <sharedItems containsSemiMixedTypes="0" containsString="0" containsNumber="1" containsInteger="1" minValue="850" maxValue="10037848788"/>
    </cacheField>
    <cacheField name="NOME" numFmtId="0">
      <sharedItems/>
    </cacheField>
    <cacheField name="NEG" numFmtId="0">
      <sharedItems/>
    </cacheField>
    <cacheField name="DNEG" numFmtId="0">
      <sharedItems/>
    </cacheField>
    <cacheField name="CPFCNPJ" numFmtId="0">
      <sharedItems containsSemiMixedTypes="0" containsString="0" containsNumber="1" containsInteger="1" minValue="131105" maxValue="97487078000114"/>
    </cacheField>
    <cacheField name="FASE" numFmtId="0">
      <sharedItems count="2">
        <s v="ATI"/>
        <s v="INA"/>
      </sharedItems>
    </cacheField>
    <cacheField name="VLRPRITOT" numFmtId="0">
      <sharedItems/>
    </cacheField>
    <cacheField name="VLRPRI" numFmtId="0">
      <sharedItems/>
    </cacheField>
    <cacheField name="DIAS" numFmtId="0">
      <sharedItems containsSemiMixedTypes="0" containsString="0" containsNumber="1" containsInteger="1" minValue="32" maxValue="1811"/>
    </cacheField>
    <cacheField name="PESQUISA" numFmtId="0">
      <sharedItems containsBlank="1"/>
    </cacheField>
    <cacheField name="ULT_ACION" numFmtId="0">
      <sharedItems/>
    </cacheField>
    <cacheField name="DEFASAGEM" numFmtId="0">
      <sharedItems containsSemiMixedTypes="0" containsString="0" containsNumber="1" containsInteger="1" minValue="0" maxValue="9999"/>
    </cacheField>
    <cacheField name="DT_ACION" numFmtId="14">
      <sharedItems containsSemiMixedTypes="0" containsNonDate="0" containsDate="1" containsString="0" minDate="2024-04-22T00:00:00" maxDate="2024-11-01T00:00:00" count="106"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20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6T00:00:00"/>
        <d v="2024-09-05T00:00:00"/>
        <d v="2024-09-04T00:00:00"/>
        <d v="2024-09-03T00:00:00"/>
        <d v="2024-09-02T00:00:00"/>
        <d v="2024-08-30T00:00:00"/>
        <d v="2024-08-29T00:00:00"/>
        <d v="2024-08-28T00:00:00"/>
        <d v="2024-08-27T00:00:00"/>
        <d v="2024-08-26T00:00:00"/>
        <d v="2024-08-23T00:00:00"/>
        <d v="2024-08-22T00:00:00"/>
        <d v="2024-08-21T00:00:00"/>
        <d v="2024-08-20T00:00:00"/>
        <d v="2024-08-19T00:00:00"/>
        <d v="2024-08-16T00:00:00"/>
        <d v="2024-08-15T00:00:00"/>
        <d v="2024-08-14T00:00:00"/>
        <d v="2024-08-13T00:00:00"/>
        <d v="2024-08-12T00:00:00"/>
        <d v="2024-08-08T00:00:00"/>
        <d v="2024-08-05T00:00:00"/>
        <d v="2024-08-02T00:00:00"/>
        <d v="2024-08-01T00:00:00"/>
        <d v="2024-07-31T00:00:00"/>
        <d v="2024-07-26T00:00:00"/>
        <d v="2024-07-23T00:00:00"/>
        <d v="2024-07-19T00:00:00"/>
        <d v="2024-07-18T00:00:00"/>
        <d v="2024-07-16T00:00:00"/>
        <d v="2024-07-11T00:00:00"/>
        <d v="2024-07-10T00:00:00"/>
        <d v="2024-07-09T00:00:00"/>
        <d v="2024-07-08T00:00:00"/>
        <d v="2024-07-02T00:00:00"/>
        <d v="2024-06-21T00:00:00"/>
        <d v="2024-06-19T00:00:00"/>
        <d v="2024-06-18T00:00:00"/>
        <d v="2024-06-17T00:00:00"/>
        <d v="2024-06-11T00:00:00"/>
        <d v="2024-06-10T00:00:00"/>
        <d v="2024-06-07T00:00:00"/>
        <d v="2024-06-06T00:00:00"/>
        <d v="2024-06-03T00:00:00"/>
        <d v="2024-05-29T00:00:00"/>
        <d v="2024-05-28T00:00:00"/>
        <d v="2024-05-27T00:00:00"/>
        <d v="2024-05-24T00:00:00"/>
        <d v="2024-05-23T00:00:00"/>
        <d v="2024-05-21T00:00:00"/>
        <d v="2024-05-20T00:00:00"/>
        <d v="2024-05-17T00:00:00"/>
        <d v="2024-05-16T00:00:00"/>
        <d v="2024-05-15T00:00:00"/>
        <d v="2024-05-13T00:00:00"/>
        <d v="2024-05-10T00:00:00"/>
        <d v="2024-05-09T00:00:00"/>
        <d v="2024-05-08T00:00:00"/>
        <d v="2024-05-07T00:00:00"/>
        <d v="2024-05-06T00:00:00"/>
        <d v="2024-05-03T00:00:00"/>
        <d v="2024-05-02T00:00:00"/>
        <d v="2024-04-30T00:00:00"/>
        <d v="2024-04-29T00:00:00"/>
        <d v="2024-04-24T00:00:00"/>
        <d v="2024-04-23T00:00:00"/>
        <d v="2024-04-22T00:00:00"/>
      </sharedItems>
    </cacheField>
    <cacheField name="HR_ACION" numFmtId="0">
      <sharedItems/>
    </cacheField>
    <cacheField name="OPER_ACION" numFmtId="0">
      <sharedItems/>
    </cacheField>
    <cacheField name="FX ATRASO" numFmtId="0">
      <sharedItems/>
    </cacheField>
    <cacheField name="ACIONAMENTO" numFmtId="0">
      <sharedItems/>
    </cacheField>
    <cacheField name="STATUS" numFmtId="0">
      <sharedItems count="6">
        <s v="Não Localizado"/>
        <s v="Sem Interesse"/>
        <s v="Em Negociação"/>
        <s v="Sem Condições"/>
        <s v="Sem Contato"/>
        <s v="Falecido"/>
      </sharedItems>
    </cacheField>
  </cacheFields>
  <extLst>
    <ext xmlns:x14="http://schemas.microsoft.com/office/spreadsheetml/2009/9/main" uri="{725AE2AE-9491-48be-B2B4-4EB974FC3084}">
      <x14:pivotCacheDefinition pivotCacheId="6497419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7">
  <r>
    <s v="COGECOM"/>
    <n v="52555710"/>
    <s v="RITA DE CASSIA TEOFILO DE TOMAS"/>
    <s v="OUT"/>
    <s v="OUTROS"/>
    <n v="58483616904"/>
    <x v="0"/>
    <s v="486.93"/>
    <s v="430.04"/>
    <n v="1316"/>
    <s v="NÃO LOCALIZADO"/>
    <s v="TELEFONES SEM ATENDIMENTO"/>
    <n v="0"/>
    <x v="0"/>
    <s v="14.03"/>
    <s v="gleise"/>
    <s v="Acima de 361"/>
    <s v="ACIONAMENTO"/>
    <x v="0"/>
  </r>
  <r>
    <s v="COGECOM"/>
    <n v="8446300"/>
    <s v="ADRIANA CORDEIRO DA SILVEIRA"/>
    <s v="OUT"/>
    <s v="OUTROS"/>
    <n v="2528809948"/>
    <x v="0"/>
    <s v="336.94"/>
    <s v="81.94"/>
    <n v="699"/>
    <s v="NÃO LOCALIZADO"/>
    <s v="TELEFONES SEM ATENDIMENTO"/>
    <n v="0"/>
    <x v="0"/>
    <s v="14.04"/>
    <s v="gleise"/>
    <s v="Acima de 361"/>
    <s v="ACIONAMENTO"/>
    <x v="0"/>
  </r>
  <r>
    <s v="COGECOM"/>
    <n v="630588570"/>
    <s v="ADRIANO DIAS DOS SANTOS"/>
    <s v="OUT"/>
    <s v="OUTROS"/>
    <n v="5587705765"/>
    <x v="0"/>
    <s v="620.55"/>
    <s v="72.82"/>
    <n v="336"/>
    <s v="NÃO LOCALIZADO"/>
    <s v="TELEFONES SEM ATENDIMENTO"/>
    <n v="0"/>
    <x v="0"/>
    <s v="11.32"/>
    <s v="gleise"/>
    <s v="181 a 360"/>
    <s v="ACIONAMENTO"/>
    <x v="0"/>
  </r>
  <r>
    <s v="COGECOM"/>
    <n v="48880525"/>
    <s v="AILTON PESSOA DA SILVA"/>
    <s v="OUT"/>
    <s v="OUTROS"/>
    <n v="28698699839"/>
    <x v="0"/>
    <s v="316.58"/>
    <s v="86.54"/>
    <n v="552"/>
    <s v="SEM INTERESSE"/>
    <s v="NEGOCIAÇÃO VIA TELEFONE"/>
    <n v="0"/>
    <x v="0"/>
    <s v="14.05"/>
    <s v="gleise"/>
    <s v="Acima de 361"/>
    <s v="CPC"/>
    <x v="1"/>
  </r>
  <r>
    <s v="COGECOM"/>
    <n v="3085104774"/>
    <s v="ALANA SUELAN SANTOS FERREIRA"/>
    <s v="OUT"/>
    <s v="OUTROS"/>
    <n v="2671845308"/>
    <x v="0"/>
    <s v="154.32"/>
    <s v="210.80"/>
    <n v="193"/>
    <s v="NÃO LOCALIZADO"/>
    <s v="TELEFONES SEM ATENDIMENTO"/>
    <n v="0"/>
    <x v="0"/>
    <s v="13.43"/>
    <s v="gleise"/>
    <s v="181 a 360"/>
    <s v="ACIONAMENTO"/>
    <x v="0"/>
  </r>
  <r>
    <s v="COGECOM"/>
    <n v="10007362666"/>
    <s v="ALEANICO SILVA DE OLIVEIRA"/>
    <s v="OUT"/>
    <s v="OUTROS"/>
    <n v="4646957671"/>
    <x v="0"/>
    <s v="220.87"/>
    <s v="33.84"/>
    <n v="216"/>
    <s v="SEM INTERESSE"/>
    <s v="NEGOCIAÇÃO VIA TELEFONE"/>
    <n v="0"/>
    <x v="0"/>
    <s v="14.06"/>
    <s v="gleise"/>
    <s v="181 a 360"/>
    <s v="CPC"/>
    <x v="1"/>
  </r>
  <r>
    <s v="COGECOM"/>
    <n v="3082597959"/>
    <s v="ALESSANDRO BEIERSDORF"/>
    <s v="OUT"/>
    <s v="OUTROS"/>
    <n v="23188849000136"/>
    <x v="0"/>
    <s v="856.26"/>
    <s v="856.26"/>
    <n v="505"/>
    <s v="NÃO LOCALIZADO"/>
    <s v="TELEFONES SEM ATENDIMENTO"/>
    <n v="0"/>
    <x v="0"/>
    <s v="14.07"/>
    <s v="gleise"/>
    <s v="Acima de 361"/>
    <s v="ACIONAMENTO"/>
    <x v="0"/>
  </r>
  <r>
    <s v="COGECOM"/>
    <n v="89808185"/>
    <s v="ALEXANDRE WIEDERKEHR"/>
    <s v="OUT"/>
    <s v="OUTROS"/>
    <n v="2815640945"/>
    <x v="0"/>
    <s v="145.33"/>
    <s v="259.90"/>
    <n v="193"/>
    <s v="NÃO LOCALIZADO"/>
    <s v="TELEFONES SEM ATENDIMENTO"/>
    <n v="0"/>
    <x v="0"/>
    <s v="13.44"/>
    <s v="gleise"/>
    <s v="181 a 360"/>
    <s v="ACIONAMENTO"/>
    <x v="0"/>
  </r>
  <r>
    <s v="COGECOM"/>
    <n v="4910818"/>
    <s v="ALICE AUGUSTA MARQUES"/>
    <s v="OUT"/>
    <s v="OUTROS"/>
    <n v="2566686980"/>
    <x v="0"/>
    <s v="277.96"/>
    <s v="156.26"/>
    <n v="509"/>
    <s v="SEM INTERESSE"/>
    <s v="SOLICITAR EXTINÇÃO DA AÇÃO"/>
    <n v="2"/>
    <x v="0"/>
    <s v="14.08"/>
    <s v="gleise"/>
    <s v="Acima de 361"/>
    <s v="ACIONAMENTO"/>
    <x v="1"/>
  </r>
  <r>
    <s v="COGECOM"/>
    <n v="10017898925"/>
    <s v="ALICE PEREIRA BATISTA DOS SANTOS"/>
    <s v="OUT"/>
    <s v="OUTROS"/>
    <n v="5209484165"/>
    <x v="0"/>
    <s v="88.63"/>
    <s v="51.19"/>
    <n v="360"/>
    <s v="NÃO LOCALIZADO"/>
    <s v="TELEFONES SEM ATENDIMENTO"/>
    <n v="0"/>
    <x v="0"/>
    <s v="14.07"/>
    <s v="gleise"/>
    <s v="181 a 360"/>
    <s v="ACIONAMENTO"/>
    <x v="0"/>
  </r>
  <r>
    <s v="COGECOM"/>
    <n v="51950810"/>
    <s v="ANA CAROLINA IONEN GARCIA"/>
    <s v="OUT"/>
    <s v="OUTROS"/>
    <n v="5489107901"/>
    <x v="0"/>
    <s v="392.99"/>
    <s v="184.85"/>
    <n v="198"/>
    <s v="NÃO LOCALIZADO"/>
    <s v="TELEFONES SEM ATENDIMENTO"/>
    <n v="0"/>
    <x v="0"/>
    <s v="9.06"/>
    <s v="gleise"/>
    <s v="181 a 360"/>
    <s v="ACIONAMENTO"/>
    <x v="0"/>
  </r>
  <r>
    <s v="COGECOM"/>
    <n v="1640909"/>
    <s v="ANA CAROLINA NUNES LEAL GASPAR"/>
    <s v="OUT"/>
    <s v="OUTROS"/>
    <n v="30168871858"/>
    <x v="0"/>
    <s v="221.14"/>
    <s v="414.03"/>
    <n v="202"/>
    <s v="NÃO LOCALIZADO"/>
    <s v="TELEFONES SEM ATENDIMENTO"/>
    <n v="0"/>
    <x v="0"/>
    <s v="13.42"/>
    <s v="gleise"/>
    <s v="181 a 360"/>
    <s v="ACIONAMENTO"/>
    <x v="0"/>
  </r>
  <r>
    <s v="COGECOM"/>
    <n v="10027647054"/>
    <s v="ANA KAROLINE DA SILVA FERREIRA"/>
    <s v="OUT"/>
    <s v="OUTROS"/>
    <n v="75225930182"/>
    <x v="0"/>
    <s v="1629.14"/>
    <s v="195.00"/>
    <n v="338"/>
    <s v="NÃO LOCALIZADO"/>
    <s v="TELEFONES SEM ATENDIMENTO"/>
    <n v="0"/>
    <x v="0"/>
    <s v="9.21"/>
    <s v="gleise"/>
    <s v="181 a 360"/>
    <s v="ACIONAMENTO"/>
    <x v="0"/>
  </r>
  <r>
    <s v="COGECOM"/>
    <n v="20207074"/>
    <s v="ANA MARIA BORGES PEREIRA"/>
    <s v="OUT"/>
    <s v="OUTROS"/>
    <n v="61738409104"/>
    <x v="0"/>
    <s v="935.50"/>
    <s v="59.07"/>
    <n v="348"/>
    <s v="NÃO LOCALIZADO"/>
    <s v="TELEFONES SEM ATENDIMENTO"/>
    <n v="0"/>
    <x v="0"/>
    <s v="9.34"/>
    <s v="gleise"/>
    <s v="181 a 360"/>
    <s v="ACIONAMENTO"/>
    <x v="0"/>
  </r>
  <r>
    <s v="COGECOM"/>
    <n v="79329713"/>
    <s v="ANA PAULA BIM MALDONADO"/>
    <s v="OUT"/>
    <s v="OUTROS"/>
    <n v="91911508172"/>
    <x v="0"/>
    <s v="492.64"/>
    <s v="243.16"/>
    <n v="201"/>
    <s v="NÃO LOCALIZADO"/>
    <s v="TELEFONES SEM ATENDIMENTO"/>
    <n v="0"/>
    <x v="0"/>
    <s v="9.47"/>
    <s v="gleise"/>
    <s v="181 a 360"/>
    <s v="ACIONAMENTO"/>
    <x v="0"/>
  </r>
  <r>
    <s v="COGECOM"/>
    <n v="55979480"/>
    <s v="ANDERSON FRANCISCO PEREIRA"/>
    <s v="OUT"/>
    <s v="OUTROS"/>
    <n v="435891979"/>
    <x v="0"/>
    <s v="5636.35"/>
    <s v="561.08"/>
    <n v="665"/>
    <s v="EM NEGOCIAÇÃO"/>
    <s v="NEGOCIAÇÃO VIA TELEFONE"/>
    <n v="0"/>
    <x v="0"/>
    <s v="10.51"/>
    <s v="gleise"/>
    <s v="Acima de 361"/>
    <s v="CPC"/>
    <x v="2"/>
  </r>
  <r>
    <s v="COGECOM"/>
    <n v="1917854"/>
    <s v="BOM STRUDELL COMERCIAL E INDUSTRIAL DE ALIMENTOS LTDA"/>
    <s v="OUT"/>
    <s v="OUTROS"/>
    <n v="79571907000160"/>
    <x v="0"/>
    <s v="9309.60"/>
    <s v="3152.68"/>
    <n v="1371"/>
    <s v="NÃO LOCALIZADO"/>
    <s v="TELEFONES SEM ATENDIMENTO"/>
    <n v="0"/>
    <x v="0"/>
    <s v="13.28"/>
    <s v="gleise"/>
    <s v="Acima de 361"/>
    <s v="ACIONAMENTO"/>
    <x v="0"/>
  </r>
  <r>
    <s v="COGECOM"/>
    <n v="72407778"/>
    <s v="BREAD FAST FOODS LTDA EPP"/>
    <s v="OUT"/>
    <s v="OUTROS"/>
    <n v="22602173000112"/>
    <x v="0"/>
    <s v="3427.99"/>
    <s v="1768.36"/>
    <n v="1255"/>
    <s v="NÃO LOCALIZADO"/>
    <s v="TELEFONES SEM ATENDIMENTO"/>
    <n v="0"/>
    <x v="0"/>
    <s v="14.14"/>
    <s v="gleise"/>
    <s v="Acima de 361"/>
    <s v="ACIONAMENTO"/>
    <x v="0"/>
  </r>
  <r>
    <s v="COGECOM"/>
    <n v="5239885"/>
    <s v="BRUNO EDUARDO BRESSIANO DOS SANTOS"/>
    <s v="OUT"/>
    <s v="OUTROS"/>
    <n v="12302199944"/>
    <x v="0"/>
    <s v="235.49"/>
    <s v="77.74"/>
    <n v="691"/>
    <s v="NÃO LOCALIZADO"/>
    <s v="TELEFONES SEM ATENDIMENTO"/>
    <n v="0"/>
    <x v="0"/>
    <s v="14.14"/>
    <s v="gleise"/>
    <s v="Acima de 361"/>
    <s v="ACIONAMENTO"/>
    <x v="0"/>
  </r>
  <r>
    <s v="COGECOM"/>
    <n v="3083304501"/>
    <s v="CASSIELE DE SOUSA MORAIS"/>
    <s v="OUT"/>
    <s v="OUTROS"/>
    <n v="1435873076"/>
    <x v="0"/>
    <s v="392.23"/>
    <s v="226.55"/>
    <n v="331"/>
    <s v="NÃO LOCALIZADO"/>
    <s v="TELEFONES SEM ATENDIMENTO"/>
    <n v="0"/>
    <x v="0"/>
    <s v="9.49"/>
    <s v="gleise"/>
    <s v="181 a 360"/>
    <s v="ACIONAMENTO"/>
    <x v="0"/>
  </r>
  <r>
    <s v="COGECOM"/>
    <n v="90394240"/>
    <s v="CEZAR MURILO PETTERS"/>
    <s v="OUT"/>
    <s v="OUTROS"/>
    <n v="5847601913"/>
    <x v="0"/>
    <s v="317.51"/>
    <s v="223.92"/>
    <n v="438"/>
    <s v="SEM CONDIÇÕES"/>
    <s v="NEGOCIAÇÃO VIA TELEFONE"/>
    <n v="0"/>
    <x v="0"/>
    <s v="14.18"/>
    <s v="gleise"/>
    <s v="Acima de 361"/>
    <s v="CPC"/>
    <x v="3"/>
  </r>
  <r>
    <s v="COGECOM"/>
    <n v="54540051"/>
    <s v="COMPLEXO MARUJO LTDA"/>
    <s v="OUT"/>
    <s v="OUTROS"/>
    <n v="39699912000139"/>
    <x v="0"/>
    <s v="2531.76"/>
    <s v="449.28"/>
    <n v="282"/>
    <s v="NÃO LOCALIZADO"/>
    <s v="TELEFONES SEM ATENDIMENTO"/>
    <n v="0"/>
    <x v="0"/>
    <s v="11.54"/>
    <s v="gleise"/>
    <s v="181 a 360"/>
    <s v="ACIONAMENTO"/>
    <x v="0"/>
  </r>
  <r>
    <s v="COGECOM"/>
    <n v="39502090"/>
    <s v="CRISTIANE CORREIA FEUERSCHUETTE"/>
    <s v="OUT"/>
    <s v="OUTROS"/>
    <n v="2511733994"/>
    <x v="0"/>
    <s v="737.93"/>
    <s v="135.58"/>
    <n v="315"/>
    <s v="NÃO LOCALIZADO"/>
    <s v="TELEFONES SEM ATENDIMENTO"/>
    <n v="0"/>
    <x v="0"/>
    <s v="13.11"/>
    <s v="gleise"/>
    <s v="181 a 360"/>
    <s v="ACIONAMENTO"/>
    <x v="0"/>
  </r>
  <r>
    <s v="COGECOM"/>
    <n v="96703164"/>
    <s v="DAIANE REGINA ALVES TOMAZELI"/>
    <s v="OUT"/>
    <s v="OUTROS"/>
    <n v="10219436738"/>
    <x v="0"/>
    <s v="478.22"/>
    <s v="149.20"/>
    <n v="509"/>
    <s v="NÃO LOCALIZADO"/>
    <s v="TELEFONES SEM ATENDIMENTO"/>
    <n v="0"/>
    <x v="0"/>
    <s v="14.19"/>
    <s v="gleise"/>
    <s v="Acima de 361"/>
    <s v="ACIONAMENTO"/>
    <x v="0"/>
  </r>
  <r>
    <s v="COGECOM"/>
    <n v="3000921797"/>
    <s v="DALVA REGINA DA SILVA"/>
    <s v="OUT"/>
    <s v="OUTROS"/>
    <n v="29727294634"/>
    <x v="0"/>
    <s v="39.81"/>
    <s v="149.25"/>
    <n v="232"/>
    <s v="SEM CONDIÇÕES"/>
    <s v="NEGOCIAÇÃO VIA TELEFONE"/>
    <n v="0"/>
    <x v="0"/>
    <s v="14.22"/>
    <s v="gleise"/>
    <s v="181 a 360"/>
    <s v="CPC"/>
    <x v="3"/>
  </r>
  <r>
    <s v="COGECOM"/>
    <n v="96047933"/>
    <s v="DANIELLE FABRI TEIXEIRA"/>
    <s v="OUT"/>
    <s v="OUTROS"/>
    <n v="3859683969"/>
    <x v="0"/>
    <s v="850.68"/>
    <s v="173.50"/>
    <n v="241"/>
    <s v="AG RESPOSTA 1º CONTATO"/>
    <s v="ENVIADO MSG/E-MAIL 1º CONTATO"/>
    <n v="0"/>
    <x v="0"/>
    <s v="10.33"/>
    <s v="l.quadros"/>
    <s v="181 a 360"/>
    <s v="ACIONAMENTO"/>
    <x v="4"/>
  </r>
  <r>
    <s v="COGECOM"/>
    <n v="1550005628"/>
    <s v="DAULIRO PEREIRA DE SOUZA"/>
    <s v="OUT"/>
    <s v="OUTROS"/>
    <n v="21537127187"/>
    <x v="0"/>
    <s v="3046.01"/>
    <s v="184.59"/>
    <n v="232"/>
    <s v="NÃO LOCALIZADO"/>
    <s v="TELEFONES SEM ATENDIMENTO"/>
    <n v="0"/>
    <x v="0"/>
    <s v="14.20"/>
    <s v="gleise"/>
    <s v="181 a 360"/>
    <s v="ACIONAMENTO"/>
    <x v="0"/>
  </r>
  <r>
    <s v="COGECOM"/>
    <n v="10013067573"/>
    <s v="DIEGO MEDEIROS"/>
    <s v="OUT"/>
    <s v="OUTROS"/>
    <n v="7930740617"/>
    <x v="0"/>
    <s v="234.28"/>
    <s v="110.39"/>
    <n v="193"/>
    <s v="NÃO LOCALIZADO"/>
    <s v="TELEFONES SEM ATENDIMENTO"/>
    <n v="0"/>
    <x v="0"/>
    <s v="14.23"/>
    <s v="gleise"/>
    <s v="181 a 360"/>
    <s v="ACIONAMENTO"/>
    <x v="0"/>
  </r>
  <r>
    <s v="COGECOM"/>
    <n v="14354482"/>
    <s v="DIRCE OLIVEIRA SANTOS"/>
    <s v="OUT"/>
    <s v="OUTROS"/>
    <n v="9850171120"/>
    <x v="0"/>
    <s v="987.46"/>
    <s v="354.31"/>
    <n v="205"/>
    <s v="NÃO LOCALIZADO"/>
    <s v="TELEFONES SEM ATENDIMENTO"/>
    <n v="0"/>
    <x v="0"/>
    <s v="11.11"/>
    <s v="gleise"/>
    <s v="181 a 360"/>
    <s v="ACIONAMENTO"/>
    <x v="0"/>
  </r>
  <r>
    <s v="COGECOM"/>
    <n v="3095228955"/>
    <s v="EDUARDO BARTMANN DE SENA"/>
    <s v="OUT"/>
    <s v="OUTROS"/>
    <n v="82507090049"/>
    <x v="0"/>
    <s v="651.21"/>
    <s v="178.00"/>
    <n v="332"/>
    <s v="NÃO LOCALIZADO"/>
    <s v="TELEFONES SEM ATENDIMENTO"/>
    <n v="0"/>
    <x v="0"/>
    <s v="9.52"/>
    <s v="gleise"/>
    <s v="181 a 360"/>
    <s v="ACIONAMENTO"/>
    <x v="0"/>
  </r>
  <r>
    <s v="COGECOM"/>
    <n v="3090888538"/>
    <s v="EDUARDO MARCAL SARMENTO"/>
    <s v="OUT"/>
    <s v="OUTROS"/>
    <n v="2646643020"/>
    <x v="0"/>
    <s v="607.15"/>
    <s v="291.28"/>
    <n v="369"/>
    <s v="NÃO LOCALIZADO"/>
    <s v="TELEFONES SEM ATENDIMENTO"/>
    <n v="0"/>
    <x v="0"/>
    <s v="14.24"/>
    <s v="gleise"/>
    <s v="Acima de 361"/>
    <s v="ACIONAMENTO"/>
    <x v="0"/>
  </r>
  <r>
    <s v="COGECOM"/>
    <n v="3091813355"/>
    <s v="ELENDINE DE VARGAS"/>
    <s v="OUT"/>
    <s v="OUTROS"/>
    <n v="82791961020"/>
    <x v="0"/>
    <s v="203.43"/>
    <s v="116.44"/>
    <n v="248"/>
    <s v="SEM CONDIÇÕES"/>
    <s v="NEGOCIAÇÃO VIA TELEFONE"/>
    <n v="0"/>
    <x v="0"/>
    <s v="14.26"/>
    <s v="gleise"/>
    <s v="181 a 360"/>
    <s v="CPC"/>
    <x v="3"/>
  </r>
  <r>
    <s v="COGECOM"/>
    <n v="79898505"/>
    <s v="ELIANE ALVES"/>
    <s v="OUT"/>
    <s v="OUTROS"/>
    <n v="6423707960"/>
    <x v="0"/>
    <s v="113.74"/>
    <s v="113.74"/>
    <n v="299"/>
    <s v="NÃO LOCALIZADO"/>
    <s v="TELEFONES SEM ATENDIMENTO"/>
    <n v="0"/>
    <x v="0"/>
    <s v="13.14"/>
    <s v="gleise"/>
    <s v="181 a 360"/>
    <s v="ACIONAMENTO"/>
    <x v="0"/>
  </r>
  <r>
    <s v="COGECOM"/>
    <n v="3011100550"/>
    <s v="ELIANE OLIVEIRA TORRES"/>
    <s v="OUT"/>
    <s v="OUTROS"/>
    <n v="56407866634"/>
    <x v="0"/>
    <s v="2341.54"/>
    <s v="324.74"/>
    <n v="653"/>
    <s v="NÃO LOCALIZADO"/>
    <s v="TELEFONES SEM ATENDIMENTO"/>
    <n v="0"/>
    <x v="0"/>
    <s v="14.27"/>
    <s v="gleise"/>
    <s v="Acima de 361"/>
    <s v="ACIONAMENTO"/>
    <x v="0"/>
  </r>
  <r>
    <s v="COGECOM"/>
    <n v="85382671"/>
    <s v="ELISEU LEANDRO DA  SILVA NETO"/>
    <s v="OUT"/>
    <s v="OUTROS"/>
    <n v="56418450949"/>
    <x v="0"/>
    <s v="95.43"/>
    <s v="146.82"/>
    <n v="203"/>
    <s v="NÃO LOCALIZADO"/>
    <s v="TELEFONES SEM ATENDIMENTO"/>
    <n v="0"/>
    <x v="0"/>
    <s v="11.30"/>
    <s v="gleise"/>
    <s v="181 a 360"/>
    <s v="ACIONAMENTO"/>
    <x v="0"/>
  </r>
  <r>
    <s v="COGECOM"/>
    <n v="3095769853"/>
    <s v="ESTEVAO MISSAO DA SILVA"/>
    <s v="OUT"/>
    <s v="OUTROS"/>
    <n v="40776686895"/>
    <x v="0"/>
    <s v="50.66"/>
    <s v="50.66"/>
    <n v="343"/>
    <s v="NÃO LOCALIZADO"/>
    <s v="TELEFONES SEM ATENDIMENTO"/>
    <n v="0"/>
    <x v="0"/>
    <s v="14.28"/>
    <s v="gleise"/>
    <s v="181 a 360"/>
    <s v="ACIONAMENTO"/>
    <x v="0"/>
  </r>
  <r>
    <s v="COGECOM"/>
    <n v="3095217535"/>
    <s v="EVANDRO LUIS MENSCHAID"/>
    <s v="OUT"/>
    <s v="OUTROS"/>
    <n v="81431732087"/>
    <x v="0"/>
    <s v="459.64"/>
    <s v="130.27"/>
    <n v="274"/>
    <s v="NÃO LOCALIZADO"/>
    <s v="TELEFONES SEM ATENDIMENTO"/>
    <n v="0"/>
    <x v="0"/>
    <s v="13.46"/>
    <s v="gleise"/>
    <s v="181 a 360"/>
    <s v="ACIONAMENTO"/>
    <x v="0"/>
  </r>
  <r>
    <s v="COGECOM"/>
    <n v="107356767"/>
    <s v="EVERTON IZIDORO"/>
    <s v="OUT"/>
    <s v="OUTROS"/>
    <n v="7664601932"/>
    <x v="0"/>
    <s v="143.63"/>
    <s v="113.19"/>
    <n v="253"/>
    <s v="NÃO LOCALIZADO"/>
    <s v="TELEFONES SEM ATENDIMENTO"/>
    <n v="0"/>
    <x v="0"/>
    <s v="11.29"/>
    <s v="gleise"/>
    <s v="181 a 360"/>
    <s v="ACIONAMENTO"/>
    <x v="0"/>
  </r>
  <r>
    <s v="COGECOM"/>
    <n v="4002757037"/>
    <s v="FABIANO PERLIN MOUSQUER"/>
    <s v="OUT"/>
    <s v="OUTROS"/>
    <n v="134316096"/>
    <x v="0"/>
    <s v="0.00"/>
    <s v="289.09"/>
    <n v="195"/>
    <s v="EM NEGOCIAÇÃO"/>
    <s v="ALTERACAO DEBITO"/>
    <n v="19"/>
    <x v="0"/>
    <s v="12.50"/>
    <s v="elizabel"/>
    <s v="181 a 360"/>
    <s v="ACIONAMENTO"/>
    <x v="2"/>
  </r>
  <r>
    <s v="COGECOM"/>
    <n v="17148133"/>
    <s v="FABYSON TRAVASSOS DOS SANTOS"/>
    <s v="OUT"/>
    <s v="OUTROS"/>
    <n v="87701880259"/>
    <x v="0"/>
    <s v="2105.63"/>
    <s v="544.88"/>
    <n v="286"/>
    <s v="NÃO LOCALIZADO"/>
    <s v="TELEFONES SEM ATENDIMENTO"/>
    <n v="0"/>
    <x v="0"/>
    <s v="14.27"/>
    <s v="gleise"/>
    <s v="181 a 360"/>
    <s v="ACIONAMENTO"/>
    <x v="0"/>
  </r>
  <r>
    <s v="COGECOM"/>
    <n v="10035526554"/>
    <s v="FERNANDA MARTINS LOPES"/>
    <s v="OUT"/>
    <s v="OUTROS"/>
    <n v="3878276176"/>
    <x v="0"/>
    <s v="812.11"/>
    <s v="212.86"/>
    <n v="272"/>
    <s v="NÃO LOCALIZADO"/>
    <s v="TELEFONES SEM ATENDIMENTO"/>
    <n v="0"/>
    <x v="0"/>
    <s v="9.50"/>
    <s v="gleise"/>
    <s v="181 a 360"/>
    <s v="ACIONAMENTO"/>
    <x v="0"/>
  </r>
  <r>
    <s v="COGECOM"/>
    <n v="10005304782"/>
    <s v="FLAVIANO MARCOLINO DE OLIVEIRA SOUZA"/>
    <s v="OUT"/>
    <s v="OUTROS"/>
    <n v="81504764153"/>
    <x v="0"/>
    <s v="38.33"/>
    <s v="142.78"/>
    <n v="198"/>
    <s v="EM NEGOCIAÇÃO"/>
    <s v="NEGOCIAÇÃO VIA TELEFONE"/>
    <n v="0"/>
    <x v="0"/>
    <s v="14.30"/>
    <s v="gleise"/>
    <s v="181 a 360"/>
    <s v="CPC"/>
    <x v="2"/>
  </r>
  <r>
    <s v="COGECOM"/>
    <n v="105816175"/>
    <s v="FRANCIELLE CAROLINE OSTJEN"/>
    <s v="OUT"/>
    <s v="OUTROS"/>
    <n v="4761085940"/>
    <x v="0"/>
    <s v="952.81"/>
    <s v="263.59"/>
    <n v="375"/>
    <s v="NÃO LOCALIZADO"/>
    <s v="TELEFONES SEM ATENDIMENTO"/>
    <n v="0"/>
    <x v="0"/>
    <s v="14.31"/>
    <s v="gleise"/>
    <s v="Acima de 361"/>
    <s v="ACIONAMENTO"/>
    <x v="0"/>
  </r>
  <r>
    <s v="COGECOM"/>
    <n v="17382580"/>
    <s v="GERALDO ELY RIBEIRO GONÇALVES"/>
    <s v="OUT"/>
    <s v="OUTROS"/>
    <n v="4637636612"/>
    <x v="0"/>
    <s v="1045.21"/>
    <s v="173.85"/>
    <n v="338"/>
    <s v="NÃO LOCALIZADO"/>
    <s v="TELEFONES SEM ATENDIMENTO"/>
    <n v="0"/>
    <x v="0"/>
    <s v="13.07"/>
    <s v="gleise"/>
    <s v="181 a 360"/>
    <s v="ACIONAMENTO"/>
    <x v="0"/>
  </r>
  <r>
    <s v="COGECOM"/>
    <n v="10001234313"/>
    <s v="GÉSSICA RIBEIRO DE ARAÚJO RODRIGUES"/>
    <s v="OUT"/>
    <s v="OUTROS"/>
    <n v="4855449113"/>
    <x v="0"/>
    <s v="1212.26"/>
    <s v="203.64"/>
    <n v="359"/>
    <s v="EM NEGOCIAÇÃO"/>
    <s v="TELEFONES SEM ATENDIMENTO"/>
    <n v="0"/>
    <x v="0"/>
    <s v="13.05"/>
    <s v="gleise"/>
    <s v="181 a 360"/>
    <s v="ACIONAMENTO"/>
    <x v="2"/>
  </r>
  <r>
    <s v="COGECOM"/>
    <n v="28400080"/>
    <s v="GIOVANY AUGUSTO DA SILVA VIEIRA"/>
    <s v="OUT"/>
    <s v="OUTROS"/>
    <n v="7024766921"/>
    <x v="0"/>
    <s v="199.62"/>
    <s v="349.36"/>
    <n v="182"/>
    <s v="NÃO LOCALIZADO"/>
    <s v="TELEFONES SEM ATENDIMENTO"/>
    <n v="0"/>
    <x v="0"/>
    <s v="13.06"/>
    <s v="gleise"/>
    <s v="181 a 360"/>
    <s v="ACIONAMENTO"/>
    <x v="0"/>
  </r>
  <r>
    <s v="COGECOM"/>
    <n v="54026218"/>
    <s v="GIOVAR JUAREZ GARCIA DA ROSA"/>
    <s v="OUT"/>
    <s v="OUTROS"/>
    <n v="3902589973"/>
    <x v="0"/>
    <s v="475.95"/>
    <s v="134.18"/>
    <n v="422"/>
    <s v="NÃO LOCALIZADO"/>
    <s v="TELEFONES SEM ATENDIMENTO"/>
    <n v="0"/>
    <x v="0"/>
    <s v="14.31"/>
    <s v="gleise"/>
    <s v="Acima de 361"/>
    <s v="ACIONAMENTO"/>
    <x v="0"/>
  </r>
  <r>
    <s v="COGECOM"/>
    <n v="50222349"/>
    <s v="GLEICILENE BERALDO PARRALEGO DE CAMPOS"/>
    <s v="OUT"/>
    <s v="OUTROS"/>
    <n v="4636788931"/>
    <x v="0"/>
    <s v="645.98"/>
    <s v="507.18"/>
    <n v="417"/>
    <s v="AG RESPOSTA 1º CONTATO"/>
    <s v="ENVIADO MSG/E-MAIL 1º CONTATO"/>
    <n v="0"/>
    <x v="0"/>
    <s v="10.05"/>
    <s v="l.quadros"/>
    <s v="Acima de 361"/>
    <s v="ACIONAMENTO"/>
    <x v="4"/>
  </r>
  <r>
    <s v="COGECOM"/>
    <n v="89374487"/>
    <s v="GRACIELLE SEMENTINO DA SILVA"/>
    <s v="OUT"/>
    <s v="OUTROS"/>
    <n v="3855834946"/>
    <x v="0"/>
    <s v="682.61"/>
    <s v="162.87"/>
    <n v="216"/>
    <s v="NÃO LOCALIZADO"/>
    <s v="TELEFONES SEM ATENDIMENTO"/>
    <n v="0"/>
    <x v="0"/>
    <s v="14.32"/>
    <s v="gleise"/>
    <s v="181 a 360"/>
    <s v="ACIONAMENTO"/>
    <x v="0"/>
  </r>
  <r>
    <s v="COGECOM"/>
    <n v="32198384"/>
    <s v="GUILHERME AUGUSTO VALIM"/>
    <s v="OUT"/>
    <s v="OUTROS"/>
    <n v="7266503906"/>
    <x v="0"/>
    <s v="205.78"/>
    <s v="30.67"/>
    <n v="685"/>
    <s v="NÃO LOCALIZADO"/>
    <s v="TELEFONES SEM ATENDIMENTO"/>
    <n v="0"/>
    <x v="0"/>
    <s v="14.32"/>
    <s v="gleise"/>
    <s v="Acima de 361"/>
    <s v="ACIONAMENTO"/>
    <x v="0"/>
  </r>
  <r>
    <s v="COGECOM"/>
    <n v="3080755405"/>
    <s v="GUILHERME GARCIA MOTTA"/>
    <s v="OUT"/>
    <s v="OUTROS"/>
    <n v="1429448075"/>
    <x v="0"/>
    <s v="1779.49"/>
    <s v="291.28"/>
    <n v="343"/>
    <s v="SEM INTERESSE"/>
    <s v="NEGOCIAÇÃO VIA TELEFONE"/>
    <n v="0"/>
    <x v="0"/>
    <s v="9.46"/>
    <s v="gleise"/>
    <s v="181 a 360"/>
    <s v="CPC"/>
    <x v="1"/>
  </r>
  <r>
    <s v="COGECOM"/>
    <n v="97468428"/>
    <s v="GUILHERME MACIEL DE MELO"/>
    <s v="OUT"/>
    <s v="OUTROS"/>
    <n v="6844075901"/>
    <x v="0"/>
    <s v="226.11"/>
    <s v="110.37"/>
    <n v="224"/>
    <s v="NÃO LOCALIZADO"/>
    <s v="TELEFONES SEM ATENDIMENTO"/>
    <n v="0"/>
    <x v="0"/>
    <s v="11.27"/>
    <s v="gleise"/>
    <s v="181 a 360"/>
    <s v="ACIONAMENTO"/>
    <x v="0"/>
  </r>
  <r>
    <s v="COGECOM"/>
    <n v="3012680892"/>
    <s v="HALINE HELENA MONTEIRO BRAGA"/>
    <s v="OUT"/>
    <s v="OUTROS"/>
    <n v="7976010662"/>
    <x v="0"/>
    <s v="829.21"/>
    <s v="325.76"/>
    <n v="390"/>
    <s v="NÃO LOCALIZADO"/>
    <s v="TELEFONES SEM ATENDIMENTO"/>
    <n v="0"/>
    <x v="0"/>
    <s v="14.34"/>
    <s v="gleise"/>
    <s v="Acima de 361"/>
    <s v="ACIONAMENTO"/>
    <x v="0"/>
  </r>
  <r>
    <s v="COGECOM"/>
    <n v="3004227123"/>
    <s v="HELIDA GERALDA DOS SANTOS CIRIACO"/>
    <s v="OUT"/>
    <s v="OUTROS"/>
    <n v="6311861666"/>
    <x v="0"/>
    <s v="503.17"/>
    <s v="86.04"/>
    <n v="283"/>
    <s v="NÃO LOCALIZADO"/>
    <s v="TELEFONES SEM ATENDIMENTO"/>
    <n v="0"/>
    <x v="0"/>
    <s v="14.36"/>
    <s v="gleise"/>
    <s v="181 a 360"/>
    <s v="ACIONAMENTO"/>
    <x v="0"/>
  </r>
  <r>
    <s v="COGECOM"/>
    <n v="10035909844"/>
    <s v="HIGOR ALVES DUTRA"/>
    <s v="OUT"/>
    <s v="OUTROS"/>
    <n v="1518990100"/>
    <x v="0"/>
    <s v="293.08"/>
    <s v="37.44"/>
    <n v="327"/>
    <s v="SEM CONDIÇÕES"/>
    <s v="NEGOCIAÇÃO VIA TELEFONE"/>
    <n v="0"/>
    <x v="0"/>
    <s v="13.26"/>
    <s v="gleise"/>
    <s v="181 a 360"/>
    <s v="CPC"/>
    <x v="3"/>
  </r>
  <r>
    <s v="COGECOM"/>
    <n v="26366810"/>
    <s v="ISMAEL DOMINGOS DE SOUSA"/>
    <s v="OUT"/>
    <s v="OUTROS"/>
    <n v="7410919922"/>
    <x v="0"/>
    <s v="640.31"/>
    <s v="651.27"/>
    <n v="338"/>
    <s v="NÃO LOCALIZADO"/>
    <s v="TELEFONES SEM ATENDIMENTO"/>
    <n v="0"/>
    <x v="0"/>
    <s v="14.35"/>
    <s v="gleise"/>
    <s v="181 a 360"/>
    <s v="ACIONAMENTO"/>
    <x v="0"/>
  </r>
  <r>
    <s v="COGECOM"/>
    <n v="56741240"/>
    <s v="JANAINA APARECIDA CARNEIRO DE SOUZA"/>
    <s v="OUT"/>
    <s v="OUTROS"/>
    <n v="8821161935"/>
    <x v="0"/>
    <s v="773.31"/>
    <s v="349.34"/>
    <n v="402"/>
    <s v="AG RESPOSTA 1º CONTATO"/>
    <s v="ENVIADO MSG/E-MAIL 1º CONTATO"/>
    <n v="0"/>
    <x v="0"/>
    <s v="10.15"/>
    <s v="l.quadros"/>
    <s v="Acima de 361"/>
    <s v="ACIONAMENTO"/>
    <x v="4"/>
  </r>
  <r>
    <s v="COGECOM"/>
    <n v="10026285264"/>
    <s v="JASON ALMEIDA VIEIRA FILHO"/>
    <s v="OUT"/>
    <s v="OUTROS"/>
    <n v="70025523171"/>
    <x v="0"/>
    <s v="383.91"/>
    <s v="30.76"/>
    <n v="226"/>
    <s v="NÃO LOCALIZADO"/>
    <s v="TELEFONES SEM ATENDIMENTO"/>
    <n v="0"/>
    <x v="0"/>
    <s v="11.08"/>
    <s v="gleise"/>
    <s v="181 a 360"/>
    <s v="ACIONAMENTO"/>
    <x v="0"/>
  </r>
  <r>
    <s v="COGECOM"/>
    <n v="78494389"/>
    <s v="JEFFERSON RICARDO BELASQUE"/>
    <s v="OUT"/>
    <s v="OUTROS"/>
    <n v="90854578900"/>
    <x v="0"/>
    <s v="175.77"/>
    <s v="175.77"/>
    <n v="563"/>
    <s v="NÃO LOCALIZADO"/>
    <s v="TELEFONES SEM ATENDIMENTO"/>
    <n v="0"/>
    <x v="0"/>
    <s v="14.38"/>
    <s v="gleise"/>
    <s v="Acima de 361"/>
    <s v="ACIONAMENTO"/>
    <x v="0"/>
  </r>
  <r>
    <s v="COGECOM"/>
    <n v="10013879420"/>
    <s v="JESSICA RODRIGUES DA SILVA MARQUES"/>
    <s v="OUT"/>
    <s v="OUTROS"/>
    <n v="3453058178"/>
    <x v="0"/>
    <s v="1182.39"/>
    <s v="90.31"/>
    <n v="338"/>
    <s v="NÃO LOCALIZADO"/>
    <s v="TELEFONES SEM ATENDIMENTO"/>
    <n v="0"/>
    <x v="0"/>
    <s v="14.36"/>
    <s v="gleise"/>
    <s v="181 a 360"/>
    <s v="ACIONAMENTO"/>
    <x v="0"/>
  </r>
  <r>
    <s v="COGECOM"/>
    <n v="10033695146"/>
    <s v="JHEIMYSON SILVA SANTOS"/>
    <s v="OUT"/>
    <s v="OUTROS"/>
    <n v="93672810215"/>
    <x v="0"/>
    <s v="1305.91"/>
    <s v="303.27"/>
    <n v="393"/>
    <s v="NÃO LOCALIZADO"/>
    <s v="TELEFONES SEM ATENDIMENTO"/>
    <n v="0"/>
    <x v="0"/>
    <s v="14.37"/>
    <s v="gleise"/>
    <s v="Acima de 361"/>
    <s v="ACIONAMENTO"/>
    <x v="0"/>
  </r>
  <r>
    <s v="COGECOM"/>
    <n v="93795343"/>
    <s v="JOAO HENRIQUE WECKERLIN"/>
    <s v="OUT"/>
    <s v="OUTROS"/>
    <n v="701683937"/>
    <x v="0"/>
    <s v="386.05"/>
    <s v="79.03"/>
    <n v="550"/>
    <s v="NÃO LOCALIZADO"/>
    <s v="TELEFONES SEM ATENDIMENTO"/>
    <n v="0"/>
    <x v="0"/>
    <s v="10.29"/>
    <s v="gleise"/>
    <s v="Acima de 361"/>
    <s v="ACIONAMENTO"/>
    <x v="0"/>
  </r>
  <r>
    <s v="COGECOM"/>
    <n v="3005044988"/>
    <s v="JOAO ROBERTO PEREIRA"/>
    <s v="OUT"/>
    <s v="OUTROS"/>
    <n v="88821730891"/>
    <x v="0"/>
    <s v="1970.82"/>
    <s v="463.11"/>
    <n v="283"/>
    <s v="NÃO LOCALIZADO"/>
    <s v="TELEFONES SEM ATENDIMENTO"/>
    <n v="0"/>
    <x v="0"/>
    <s v="14.38"/>
    <s v="gleise"/>
    <s v="181 a 360"/>
    <s v="ACIONAMENTO"/>
    <x v="0"/>
  </r>
  <r>
    <s v="COGECOM"/>
    <n v="1290057798"/>
    <s v="JOSE MARIA DE JESUS"/>
    <s v="OUT"/>
    <s v="OUTROS"/>
    <n v="47883367153"/>
    <x v="0"/>
    <s v="1069.21"/>
    <s v="140.16"/>
    <n v="339"/>
    <s v="NÃO LOCALIZADO"/>
    <s v="TELEFONES SEM ATENDIMENTO"/>
    <n v="0"/>
    <x v="0"/>
    <s v="13.10"/>
    <s v="gleise"/>
    <s v="181 a 360"/>
    <s v="ACIONAMENTO"/>
    <x v="0"/>
  </r>
  <r>
    <s v="COGECOM"/>
    <n v="22637010"/>
    <s v="JOSE ROBERTO ACIOLLI DOS SANTOS"/>
    <s v="OUT"/>
    <s v="OUTROS"/>
    <n v="29878500934"/>
    <x v="0"/>
    <s v="1758.18"/>
    <s v="495.50"/>
    <n v="201"/>
    <s v="SEM INTERESSE"/>
    <s v="NEGOCIAÇÃO VIA TELEFONE"/>
    <n v="0"/>
    <x v="0"/>
    <s v="11.52"/>
    <s v="gleise"/>
    <s v="181 a 360"/>
    <s v="CPC"/>
    <x v="1"/>
  </r>
  <r>
    <s v="COGECOM"/>
    <n v="3004315934"/>
    <s v="JOSE ROMAO FILHO"/>
    <s v="OUT"/>
    <s v="OUTROS"/>
    <n v="20311400604"/>
    <x v="0"/>
    <s v="115.78"/>
    <s v="115.78"/>
    <n v="253"/>
    <s v="NÃO LOCALIZADO"/>
    <s v="TELEFONES SEM ATENDIMENTO"/>
    <n v="0"/>
    <x v="0"/>
    <s v="14.39"/>
    <s v="gleise"/>
    <s v="181 a 360"/>
    <s v="ACIONAMENTO"/>
    <x v="0"/>
  </r>
  <r>
    <s v="COGECOM"/>
    <n v="45358372"/>
    <s v="JOSE VICTOR DOS SANTOS"/>
    <s v="OUT"/>
    <s v="OUTROS"/>
    <n v="9636901910"/>
    <x v="0"/>
    <s v="76.82"/>
    <s v="76.82"/>
    <n v="334"/>
    <s v="NÃO LOCALIZADO"/>
    <s v="TELEFONES SEM ATENDIMENTO"/>
    <n v="0"/>
    <x v="0"/>
    <s v="14.40"/>
    <s v="gleise"/>
    <s v="181 a 360"/>
    <s v="ACIONAMENTO"/>
    <x v="0"/>
  </r>
  <r>
    <s v="COGECOM"/>
    <n v="630517101"/>
    <s v="JOVINO ARISTIDES LEMES"/>
    <s v="OUT"/>
    <s v="OUTROS"/>
    <n v="93324677149"/>
    <x v="0"/>
    <s v="5683.03"/>
    <s v="68.25"/>
    <n v="313"/>
    <s v="AG RESPOSTA 1º CONTATO"/>
    <s v="ENVIADO MSG/E-MAIL 1º CONTATO"/>
    <n v="0"/>
    <x v="0"/>
    <s v="11.43"/>
    <s v="l.quadros"/>
    <s v="181 a 360"/>
    <s v="ACIONAMENTO"/>
    <x v="4"/>
  </r>
  <r>
    <s v="COGECOM"/>
    <n v="42280216"/>
    <s v="JULIANA CANTADEN"/>
    <s v="OUT"/>
    <s v="OUTROS"/>
    <n v="3594796930"/>
    <x v="0"/>
    <s v="1423.04"/>
    <s v="526.21"/>
    <n v="444"/>
    <s v="NÃO LOCALIZADO"/>
    <s v="TELEFONES SEM ATENDIMENTO"/>
    <n v="0"/>
    <x v="0"/>
    <s v="9.16"/>
    <s v="gleise"/>
    <s v="Acima de 361"/>
    <s v="ACIONAMENTO"/>
    <x v="0"/>
  </r>
  <r>
    <s v="COGECOM"/>
    <n v="4001796349"/>
    <s v="JULIANA DA SILVA SKOREK"/>
    <s v="OUT"/>
    <s v="OUTROS"/>
    <n v="3445152063"/>
    <x v="0"/>
    <s v="1050.21"/>
    <s v="281.06"/>
    <n v="342"/>
    <s v="AG RESPOSTA 1º CONTATO"/>
    <s v="ENVIADO MSG/E-MAIL 1º CONTATO"/>
    <n v="0"/>
    <x v="0"/>
    <s v="10.17"/>
    <s v="l.quadros"/>
    <s v="181 a 360"/>
    <s v="ACIONAMENTO"/>
    <x v="4"/>
  </r>
  <r>
    <s v="COGECOM"/>
    <n v="21103963"/>
    <s v="JULIANA MARIA PEREIRA"/>
    <s v="OUT"/>
    <s v="OUTROS"/>
    <n v="94120560104"/>
    <x v="0"/>
    <s v="1726.06"/>
    <s v="484.53"/>
    <n v="401"/>
    <s v="NÃO LOCALIZADO"/>
    <s v="TELEFONES SEM ATENDIMENTO"/>
    <n v="0"/>
    <x v="0"/>
    <s v="13.34"/>
    <s v="gleise"/>
    <s v="Acima de 361"/>
    <s v="ACIONAMENTO"/>
    <x v="0"/>
  </r>
  <r>
    <s v="COGECOM"/>
    <n v="10004010491"/>
    <s v="JULIANA MATOSO"/>
    <s v="OUT"/>
    <s v="OUTROS"/>
    <n v="2586513185"/>
    <x v="0"/>
    <s v="1047.74"/>
    <s v="517.33"/>
    <n v="235"/>
    <s v="NÃO LOCALIZADO"/>
    <s v="TELEFONES SEM ATENDIMENTO"/>
    <n v="0"/>
    <x v="0"/>
    <s v="9.33"/>
    <s v="gleise"/>
    <s v="181 a 360"/>
    <s v="ACIONAMENTO"/>
    <x v="0"/>
  </r>
  <r>
    <s v="COGECOM"/>
    <n v="77163850"/>
    <s v="KAIRON GUNSCH"/>
    <s v="OUT"/>
    <s v="OUTROS"/>
    <n v="5847209983"/>
    <x v="0"/>
    <s v="117.02"/>
    <s v="241.37"/>
    <n v="238"/>
    <s v="NÃO LOCALIZADO"/>
    <s v="TELEFONES SEM ATENDIMENTO"/>
    <n v="0"/>
    <x v="0"/>
    <s v="14.41"/>
    <s v="gleise"/>
    <s v="181 a 360"/>
    <s v="ACIONAMENTO"/>
    <x v="0"/>
  </r>
  <r>
    <s v="COGECOM"/>
    <n v="33291373"/>
    <s v="KENDRI KRUGER ALBUQUERQUE"/>
    <s v="OUT"/>
    <s v="OUTROS"/>
    <n v="5277341951"/>
    <x v="0"/>
    <s v="197.69"/>
    <s v="77.28"/>
    <n v="494"/>
    <s v="NÃO LOCALIZADO"/>
    <s v="TELEFONES SEM ATENDIMENTO"/>
    <n v="0"/>
    <x v="0"/>
    <s v="9.07"/>
    <s v="gleise"/>
    <s v="Acima de 361"/>
    <s v="ACIONAMENTO"/>
    <x v="0"/>
  </r>
  <r>
    <s v="COGECOM"/>
    <n v="10028735186"/>
    <s v="LEANDRO CHAGAS CARNEIRO"/>
    <s v="OUT"/>
    <s v="OUTROS"/>
    <n v="82778450149"/>
    <x v="0"/>
    <s v="499.67"/>
    <s v="46.15"/>
    <n v="220"/>
    <s v="AG RESPOSTA 1º CONTATO"/>
    <s v="ENVIADO MSG/E-MAIL 1º CONTATO"/>
    <n v="0"/>
    <x v="0"/>
    <s v="9.44"/>
    <s v="l.quadros"/>
    <s v="181 a 360"/>
    <s v="ACIONAMENTO"/>
    <x v="4"/>
  </r>
  <r>
    <s v="COGECOM"/>
    <n v="91026768"/>
    <s v="LEANDRO DE ALMEIDA FERREIRA"/>
    <s v="OUT"/>
    <s v="OUTROS"/>
    <n v="4526049905"/>
    <x v="0"/>
    <s v="658.95"/>
    <s v="228.24"/>
    <n v="281"/>
    <s v="NÃO LOCALIZADO"/>
    <s v="TELEFONES SEM ATENDIMENTO"/>
    <n v="0"/>
    <x v="0"/>
    <s v="14.41"/>
    <s v="gleise"/>
    <s v="181 a 360"/>
    <s v="ACIONAMENTO"/>
    <x v="0"/>
  </r>
  <r>
    <s v="COGECOM"/>
    <n v="3081683834"/>
    <s v="LEANDRO VANDERLEI RAMOS"/>
    <s v="OUT"/>
    <s v="OUTROS"/>
    <n v="44382413087"/>
    <x v="0"/>
    <s v="3052.06"/>
    <s v="752.84"/>
    <n v="315"/>
    <s v="NÃO LOCALIZADO"/>
    <s v="TELEFONES SEM ATENDIMENTO"/>
    <n v="0"/>
    <x v="0"/>
    <s v="11.55"/>
    <s v="gleise"/>
    <s v="181 a 360"/>
    <s v="ACIONAMENTO"/>
    <x v="0"/>
  </r>
  <r>
    <s v="COGECOM"/>
    <n v="28470061"/>
    <s v="LEONALDO LANDMANN JUNIOR"/>
    <s v="OUT"/>
    <s v="OUTROS"/>
    <n v="748262989"/>
    <x v="0"/>
    <s v="503.87"/>
    <s v="157.71"/>
    <n v="451"/>
    <s v="NÃO LOCALIZADO"/>
    <s v="TELEFONES SEM ATENDIMENTO"/>
    <n v="0"/>
    <x v="0"/>
    <s v="14.42"/>
    <s v="gleise"/>
    <s v="Acima de 361"/>
    <s v="ACIONAMENTO"/>
    <x v="0"/>
  </r>
  <r>
    <s v="COGECOM"/>
    <n v="4139950"/>
    <s v="LEONIR FREDERICO SAND"/>
    <s v="OUT"/>
    <s v="OUTROS"/>
    <n v="56412495053"/>
    <x v="0"/>
    <s v="875.96"/>
    <s v="218.14"/>
    <n v="440"/>
    <s v="SEM INTERESSE"/>
    <s v="NEGOCIAÇÃO VIA TELEFONE"/>
    <n v="0"/>
    <x v="0"/>
    <s v="14.43"/>
    <s v="gleise"/>
    <s v="Acima de 361"/>
    <s v="CPC"/>
    <x v="1"/>
  </r>
  <r>
    <s v="COGECOM"/>
    <n v="9939520"/>
    <s v="LILIANE SCHNEIDER JOÃO"/>
    <s v="OUT"/>
    <s v="OUTROS"/>
    <n v="7914153923"/>
    <x v="0"/>
    <s v="1006.64"/>
    <s v="334.89"/>
    <n v="320"/>
    <s v="NÃO LOCALIZADO"/>
    <s v="TELEFONES SEM ATENDIMENTO"/>
    <n v="0"/>
    <x v="0"/>
    <s v="11.57"/>
    <s v="gleise"/>
    <s v="181 a 360"/>
    <s v="ACIONAMENTO"/>
    <x v="0"/>
  </r>
  <r>
    <s v="COGECOM"/>
    <n v="96670533"/>
    <s v="LLRP COMÉRCIO DE BEBIDAS LTDA"/>
    <s v="OUT"/>
    <s v="OUTROS"/>
    <n v="41347814000184"/>
    <x v="0"/>
    <s v="1862.95"/>
    <s v="999.93"/>
    <n v="525"/>
    <s v="NÃO LOCALIZADO"/>
    <s v="TELEFONES SEM ATENDIMENTO"/>
    <n v="0"/>
    <x v="0"/>
    <s v="13.32"/>
    <s v="gleise"/>
    <s v="Acima de 361"/>
    <s v="ACIONAMENTO"/>
    <x v="0"/>
  </r>
  <r>
    <s v="COGECOM"/>
    <n v="3014429871"/>
    <s v="LUAN GUSTAVO MENDES"/>
    <s v="OUT"/>
    <s v="OUTROS"/>
    <n v="1599804611"/>
    <x v="0"/>
    <s v="398.74"/>
    <s v="186.05"/>
    <n v="215"/>
    <s v="NÃO LOCALIZADO"/>
    <s v="TELEFONES SEM ATENDIMENTO"/>
    <n v="0"/>
    <x v="0"/>
    <s v="14.44"/>
    <s v="gleise"/>
    <s v="181 a 360"/>
    <s v="ACIONAMENTO"/>
    <x v="0"/>
  </r>
  <r>
    <s v="COGECOM"/>
    <n v="101224540"/>
    <s v="LUANA FATIMA BATISTA"/>
    <s v="OUT"/>
    <s v="OUTROS"/>
    <n v="7585673914"/>
    <x v="0"/>
    <s v="125.84"/>
    <s v="125.84"/>
    <n v="466"/>
    <s v="NÃO LOCALIZADO"/>
    <s v="TELEFONES SEM ATENDIMENTO"/>
    <n v="0"/>
    <x v="0"/>
    <s v="14.45"/>
    <s v="gleise"/>
    <s v="Acima de 361"/>
    <s v="ACIONAMENTO"/>
    <x v="0"/>
  </r>
  <r>
    <s v="COGECOM"/>
    <n v="3006739943"/>
    <s v="LUCAS CASTRO BOLPATO"/>
    <s v="OUT"/>
    <s v="OUTROS"/>
    <n v="11776149602"/>
    <x v="0"/>
    <s v="789.85"/>
    <s v="220.77"/>
    <n v="283"/>
    <s v="NÃO LOCALIZADO"/>
    <s v="TELEFONES SEM ATENDIMENTO"/>
    <n v="0"/>
    <x v="0"/>
    <s v="14.45"/>
    <s v="gleise"/>
    <s v="181 a 360"/>
    <s v="ACIONAMENTO"/>
    <x v="0"/>
  </r>
  <r>
    <s v="COGECOM"/>
    <n v="55278555"/>
    <s v="LUCAS DA  SILVA"/>
    <s v="OUT"/>
    <s v="OUTROS"/>
    <n v="7040536919"/>
    <x v="0"/>
    <s v="30.70"/>
    <s v="30.70"/>
    <n v="371"/>
    <s v="NÃO LOCALIZADO"/>
    <s v="TELEFONES SEM ATENDIMENTO"/>
    <n v="0"/>
    <x v="0"/>
    <s v="14.46"/>
    <s v="gleise"/>
    <s v="Acima de 361"/>
    <s v="ACIONAMENTO"/>
    <x v="0"/>
  </r>
  <r>
    <s v="COGECOM"/>
    <n v="45029611"/>
    <s v="LUCIANA APARECIDA OLIVEIRA AZEVEDO"/>
    <s v="OUT"/>
    <s v="OUTROS"/>
    <n v="10603121829"/>
    <x v="0"/>
    <s v="1471.05"/>
    <s v="767.62"/>
    <n v="357"/>
    <s v="AG RESPOSTA 1º CONTATO"/>
    <s v="ENVIADO MSG/E-MAIL 1º CONTATO"/>
    <n v="0"/>
    <x v="0"/>
    <s v="13.50"/>
    <s v="l.quadros"/>
    <s v="181 a 360"/>
    <s v="ACIONAMENTO"/>
    <x v="4"/>
  </r>
  <r>
    <s v="COGECOM"/>
    <n v="2060019741"/>
    <s v="LUCIANA KUBILIUS SUYAMA"/>
    <s v="OUT"/>
    <s v="OUTROS"/>
    <n v="26481695805"/>
    <x v="0"/>
    <s v="1361.64"/>
    <s v="234.92"/>
    <n v="322"/>
    <s v="AG RESPOSTA 1º CONTATO"/>
    <s v="ENVIADO MSG/E-MAIL 1º CONTATO"/>
    <n v="0"/>
    <x v="0"/>
    <s v="10.22"/>
    <s v="l.quadros"/>
    <s v="181 a 360"/>
    <s v="ACIONAMENTO"/>
    <x v="4"/>
  </r>
  <r>
    <s v="COGECOM"/>
    <n v="15096506"/>
    <s v="LUCIANE DE FREITAS MELO MENDES"/>
    <s v="OUT"/>
    <s v="OUTROS"/>
    <n v="1007551194"/>
    <x v="0"/>
    <s v="794.83"/>
    <s v="46.15"/>
    <n v="339"/>
    <s v="SEM INTERESSE"/>
    <s v="NEGOCIAÇÃO VIA TELEFONE"/>
    <n v="0"/>
    <x v="0"/>
    <s v="14.47"/>
    <s v="gleise"/>
    <s v="181 a 360"/>
    <s v="CPC"/>
    <x v="1"/>
  </r>
  <r>
    <s v="COGECOM"/>
    <n v="3011919859"/>
    <s v="LUCIENE MARIA DE OLIVEIRA"/>
    <s v="OUT"/>
    <s v="OUTROS"/>
    <n v="7282064636"/>
    <x v="0"/>
    <s v="737.79"/>
    <s v="129.48"/>
    <n v="344"/>
    <s v="SEM CONDIÇÕES"/>
    <s v="NEGOCIAÇÃO VIA TELEFONE"/>
    <n v="0"/>
    <x v="0"/>
    <s v="14.49"/>
    <s v="gleise"/>
    <s v="181 a 360"/>
    <s v="CPC"/>
    <x v="3"/>
  </r>
  <r>
    <s v="COGECOM"/>
    <n v="41275472"/>
    <s v="LUIZ CARLOS FERREIRA"/>
    <s v="OUT"/>
    <s v="OUTROS"/>
    <n v="64565513900"/>
    <x v="0"/>
    <s v="153.72"/>
    <s v="142.26"/>
    <n v="359"/>
    <s v="NÃO LOCALIZADO"/>
    <s v="TELEFONES SEM ATENDIMENTO"/>
    <n v="0"/>
    <x v="0"/>
    <s v="9.53"/>
    <s v="gleise"/>
    <s v="181 a 360"/>
    <s v="ACIONAMENTO"/>
    <x v="0"/>
  </r>
  <r>
    <s v="COGECOM"/>
    <n v="100152392"/>
    <s v="MARCIO FERNANDO DE BORBA"/>
    <s v="OUT"/>
    <s v="OUTROS"/>
    <n v="5901957946"/>
    <x v="0"/>
    <s v="1565.49"/>
    <s v="276.90"/>
    <n v="559"/>
    <s v="SEM INTERESSE"/>
    <s v="NEGOCIAÇÃO VIA TELEFONE"/>
    <n v="0"/>
    <x v="0"/>
    <s v="13.39"/>
    <s v="gleise"/>
    <s v="Acima de 361"/>
    <s v="CPC"/>
    <x v="1"/>
  </r>
  <r>
    <s v="COGECOM"/>
    <n v="92753744"/>
    <s v="MARIA APARECIDA ROLIM DE OLIVEIRA RIBEIRO"/>
    <s v="OUT"/>
    <s v="OUTROS"/>
    <n v="87824272915"/>
    <x v="0"/>
    <s v="1533.82"/>
    <s v="299.59"/>
    <n v="241"/>
    <s v="NÃO LOCALIZADO"/>
    <s v="TELEFONES SEM ATENDIMENTO"/>
    <n v="0"/>
    <x v="0"/>
    <s v="14.50"/>
    <s v="gleise"/>
    <s v="181 a 360"/>
    <s v="ACIONAMENTO"/>
    <x v="0"/>
  </r>
  <r>
    <s v="COGECOM"/>
    <n v="10003916799"/>
    <s v="MARIA CAROLINA DOS ANJOS"/>
    <s v="OUT"/>
    <s v="OUTROS"/>
    <n v="84973552100"/>
    <x v="0"/>
    <s v="826.37"/>
    <s v="287.25"/>
    <n v="359"/>
    <s v="NÃO LOCALIZADO"/>
    <s v="TELEFONES SEM ATENDIMENTO"/>
    <n v="0"/>
    <x v="0"/>
    <s v="14.50"/>
    <s v="gleise"/>
    <s v="181 a 360"/>
    <s v="ACIONAMENTO"/>
    <x v="0"/>
  </r>
  <r>
    <s v="COGECOM"/>
    <n v="14609850"/>
    <s v="MARIA LUIZA DE SOUZA"/>
    <s v="OUT"/>
    <s v="OUTROS"/>
    <n v="98970810110"/>
    <x v="0"/>
    <s v="874.16"/>
    <s v="97.72"/>
    <n v="232"/>
    <s v="AG RESPOSTA 1º CONTATO"/>
    <s v="ENVIADO MSG/E-MAIL 1º CONTATO"/>
    <n v="0"/>
    <x v="0"/>
    <s v="11.37"/>
    <s v="l.quadros"/>
    <s v="181 a 360"/>
    <s v="ACIONAMENTO"/>
    <x v="4"/>
  </r>
  <r>
    <s v="COGECOM"/>
    <n v="3001484812"/>
    <s v="MARILAC FERNANDES"/>
    <s v="OUT"/>
    <s v="OUTROS"/>
    <n v="20590920600"/>
    <x v="0"/>
    <s v="449.52"/>
    <s v="106.97"/>
    <n v="218"/>
    <s v="NÃO LOCALIZADO"/>
    <s v="TELEFONES SEM ATENDIMENTO"/>
    <n v="0"/>
    <x v="0"/>
    <s v="14.51"/>
    <s v="gleise"/>
    <s v="181 a 360"/>
    <s v="ACIONAMENTO"/>
    <x v="0"/>
  </r>
  <r>
    <s v="COGECOM"/>
    <n v="3080946305"/>
    <s v="MAURI PREDEBON"/>
    <s v="OUT"/>
    <s v="OUTROS"/>
    <n v="50227319087"/>
    <x v="0"/>
    <s v="160.75"/>
    <s v="102.85"/>
    <n v="478"/>
    <s v="SEM INTERESSE"/>
    <s v="NEGOCIAÇÃO VIA TELEFONE"/>
    <n v="0"/>
    <x v="0"/>
    <s v="14.52"/>
    <s v="gleise"/>
    <s v="Acima de 361"/>
    <s v="CPC"/>
    <x v="1"/>
  </r>
  <r>
    <s v="COGECOM"/>
    <n v="16036372"/>
    <s v="MURILO MACHADO MOURA"/>
    <s v="OUT"/>
    <s v="OUTROS"/>
    <n v="2391636130"/>
    <x v="0"/>
    <s v="1514.79"/>
    <s v="613.98"/>
    <n v="381"/>
    <s v="AG RESPOSTA 1º CONTATO"/>
    <s v="ENVIADO MSG/E-MAIL 1º CONTATO"/>
    <n v="0"/>
    <x v="0"/>
    <s v="14.14"/>
    <s v="l.quadros"/>
    <s v="Acima de 361"/>
    <s v="ACIONAMENTO"/>
    <x v="4"/>
  </r>
  <r>
    <s v="COGECOM"/>
    <n v="3090248780"/>
    <s v="NATANAEL PEREIRA"/>
    <s v="OUT"/>
    <s v="OUTROS"/>
    <n v="14792842034"/>
    <x v="0"/>
    <s v="733.69"/>
    <s v="399.66"/>
    <n v="559"/>
    <s v="NÃO LOCALIZADO"/>
    <s v="TELEFONES SEM ATENDIMENTO"/>
    <n v="0"/>
    <x v="0"/>
    <s v="13.35"/>
    <s v="gleise"/>
    <s v="Acima de 361"/>
    <s v="ACIONAMENTO"/>
    <x v="0"/>
  </r>
  <r>
    <s v="COGECOM"/>
    <n v="3085613271"/>
    <s v="OP ESCOLA LTDA"/>
    <s v="OUT"/>
    <s v="OUTROS"/>
    <n v="10973587000179"/>
    <x v="0"/>
    <s v="31.22"/>
    <s v="31.22"/>
    <n v="568"/>
    <s v="AG RESPOSTA 1º CONTATO"/>
    <s v="ENVIADO MSG/E-MAIL 1º CONTATO"/>
    <n v="0"/>
    <x v="0"/>
    <s v="9.58"/>
    <s v="l.quadros"/>
    <s v="Acima de 361"/>
    <s v="ACIONAMENTO"/>
    <x v="4"/>
  </r>
  <r>
    <s v="COGECOM"/>
    <n v="3004786128"/>
    <s v="PAULO CESAR DE OLIVEIRA"/>
    <s v="OUT"/>
    <s v="OUTROS"/>
    <n v="74313029672"/>
    <x v="0"/>
    <s v="433.61"/>
    <s v="157.80"/>
    <n v="380"/>
    <s v="NÃO LOCALIZADO"/>
    <s v="TELEFONES SEM ATENDIMENTO"/>
    <n v="0"/>
    <x v="0"/>
    <s v="9.22"/>
    <s v="gleise"/>
    <s v="Acima de 361"/>
    <s v="ACIONAMENTO"/>
    <x v="0"/>
  </r>
  <r>
    <s v="COGECOM"/>
    <n v="16998583"/>
    <s v="PERCIVAN ELIAS PEREIRA"/>
    <s v="OUT"/>
    <s v="OUTROS"/>
    <n v="38747286172"/>
    <x v="0"/>
    <s v="283.84"/>
    <s v="61.53"/>
    <n v="193"/>
    <s v="EM NEGOCIAÇÃO"/>
    <s v="NEGOCIAÇÃO VIA TELEFONE"/>
    <n v="0"/>
    <x v="0"/>
    <s v="11.21"/>
    <s v="gleise"/>
    <s v="181 a 360"/>
    <s v="CPC"/>
    <x v="2"/>
  </r>
  <r>
    <s v="COGECOM"/>
    <n v="3081819180"/>
    <s v="RAFAEL RODRIGUES ARAUJO"/>
    <s v="OUT"/>
    <s v="OUTROS"/>
    <n v="88901696991"/>
    <x v="0"/>
    <s v="698.22"/>
    <s v="698.22"/>
    <n v="280"/>
    <s v="NÃO LOCALIZADO"/>
    <s v="TELEFONES SEM ATENDIMENTO"/>
    <n v="0"/>
    <x v="0"/>
    <s v="11.48"/>
    <s v="gleise"/>
    <s v="181 a 360"/>
    <s v="ACIONAMENTO"/>
    <x v="0"/>
  </r>
  <r>
    <s v="COGECOM"/>
    <n v="3200013859"/>
    <s v="RITA DE CASSIA ARAUJO DE JESUS"/>
    <s v="OUT"/>
    <s v="OUTROS"/>
    <n v="26311054515"/>
    <x v="0"/>
    <s v="3149.80"/>
    <s v="138.44"/>
    <n v="344"/>
    <s v="NÃO LOCALIZADO"/>
    <s v="TELEFONES SEM ATENDIMENTO"/>
    <n v="0"/>
    <x v="0"/>
    <s v="9.05"/>
    <s v="gleise"/>
    <s v="181 a 360"/>
    <s v="ACIONAMENTO"/>
    <x v="0"/>
  </r>
  <r>
    <s v="COGECOM"/>
    <n v="6091091"/>
    <s v="ROBELIA ZULMA COELHO"/>
    <s v="OUT"/>
    <s v="OUTROS"/>
    <n v="1683180917"/>
    <x v="0"/>
    <s v="51.83"/>
    <s v="51.83"/>
    <n v="382"/>
    <s v="AG RESPOSTA 1º CONTATO"/>
    <s v="ENVIADO MSG/E-MAIL 1º CONTATO"/>
    <n v="0"/>
    <x v="0"/>
    <s v="11.54"/>
    <s v="l.quadros"/>
    <s v="Acima de 361"/>
    <s v="ACIONAMENTO"/>
    <x v="4"/>
  </r>
  <r>
    <s v="COGECOM"/>
    <n v="3080604039"/>
    <s v="RODRIGO AVILA DA   SILVA"/>
    <s v="OUT"/>
    <s v="OUTROS"/>
    <n v="1966410042"/>
    <x v="0"/>
    <s v="329.43"/>
    <s v="130.18"/>
    <n v="271"/>
    <s v="AG RESPOSTA 1º CONTATO"/>
    <s v="ENVIADO MSG/E-MAIL 1º CONTATO"/>
    <n v="0"/>
    <x v="0"/>
    <s v="15.08"/>
    <s v="l.quadros"/>
    <s v="181 a 360"/>
    <s v="ACIONAMENTO"/>
    <x v="4"/>
  </r>
  <r>
    <s v="COGECOM"/>
    <n v="77820185"/>
    <s v="ROGER TONOLI NUNES"/>
    <s v="OUT"/>
    <s v="OUTROS"/>
    <n v="8907448906"/>
    <x v="0"/>
    <s v="974.81"/>
    <s v="278.83"/>
    <n v="377"/>
    <s v="NÃO LOCALIZADO"/>
    <s v="TELEFONES SEM ATENDIMENTO"/>
    <n v="0"/>
    <x v="0"/>
    <s v="9.19"/>
    <s v="gleise"/>
    <s v="Acima de 361"/>
    <s v="ACIONAMENTO"/>
    <x v="0"/>
  </r>
  <r>
    <s v="COGECOM"/>
    <n v="3007447200"/>
    <s v="ROSANA MARIA DOMINGOS E SILVA"/>
    <s v="OUT"/>
    <s v="OUTROS"/>
    <n v="3447256699"/>
    <x v="0"/>
    <s v="560.39"/>
    <s v="109.13"/>
    <n v="283"/>
    <s v="NÃO LOCALIZADO"/>
    <s v="TELEFONES SEM ATENDIMENTO"/>
    <n v="0"/>
    <x v="0"/>
    <s v="13.16"/>
    <s v="gleise"/>
    <s v="181 a 360"/>
    <s v="ACIONAMENTO"/>
    <x v="0"/>
  </r>
  <r>
    <s v="COGECOM"/>
    <n v="43848143"/>
    <s v="SABORES &amp; GRÃOS PRODUTOS NATURAIS LTDA ME"/>
    <s v="OUT"/>
    <s v="OUTROS"/>
    <n v="17989340000190"/>
    <x v="0"/>
    <s v="1286.89"/>
    <s v="283.64"/>
    <n v="463"/>
    <s v="NÃO LOCALIZADO"/>
    <s v="TELEFONES SEM ATENDIMENTO"/>
    <n v="0"/>
    <x v="0"/>
    <s v="9.17"/>
    <s v="gleise"/>
    <s v="Acima de 361"/>
    <s v="ACIONAMENTO"/>
    <x v="0"/>
  </r>
  <r>
    <s v="COGECOM"/>
    <n v="10008809125"/>
    <s v="SANDRINE ANGELICA VENTURI DE SOUZA ARAUJO"/>
    <s v="OUT"/>
    <s v="OUTROS"/>
    <n v="31305640802"/>
    <x v="0"/>
    <s v="704.08"/>
    <s v="119.43"/>
    <n v="327"/>
    <s v="NÃO LOCALIZADO"/>
    <s v="TELEFONES SEM ATENDIMENTO"/>
    <n v="0"/>
    <x v="0"/>
    <s v="9.25"/>
    <s v="gleise"/>
    <s v="181 a 360"/>
    <s v="ACIONAMENTO"/>
    <x v="0"/>
  </r>
  <r>
    <s v="COGECOM"/>
    <n v="10027258732"/>
    <s v="SERGIO BATISTA DA SILVA"/>
    <s v="OUT"/>
    <s v="OUTROS"/>
    <n v="75844982134"/>
    <x v="0"/>
    <s v="793.34"/>
    <s v="124.27"/>
    <n v="233"/>
    <s v="NÃO LOCALIZADO"/>
    <s v="TELEFONES SEM ATENDIMENTO"/>
    <n v="0"/>
    <x v="0"/>
    <s v="13.13"/>
    <s v="gleise"/>
    <s v="181 a 360"/>
    <s v="ACIONAMENTO"/>
    <x v="0"/>
  </r>
  <r>
    <s v="COGECOM"/>
    <n v="10034523276"/>
    <s v="SERGIO CLAUDEMAR SCHNEICKER"/>
    <s v="OUT"/>
    <s v="OUTROS"/>
    <n v="90345878949"/>
    <x v="0"/>
    <s v="2319.77"/>
    <s v="97.72"/>
    <n v="381"/>
    <s v="NÃO LOCALIZADO"/>
    <s v="TELEFONES SEM ATENDIMENTO"/>
    <n v="0"/>
    <x v="0"/>
    <s v="13.18"/>
    <s v="gleise"/>
    <s v="Acima de 361"/>
    <s v="ACIONAMENTO"/>
    <x v="0"/>
  </r>
  <r>
    <s v="COGECOM"/>
    <n v="3007491662"/>
    <s v="THALLITA ANGELICA FERREIRA NEVES"/>
    <s v="OUT"/>
    <s v="OUTROS"/>
    <n v="8040934664"/>
    <x v="0"/>
    <s v="293.04"/>
    <s v="114.76"/>
    <n v="196"/>
    <s v="EM NEGOCIAÇÃO"/>
    <s v="NEGOCIAÇÃO VIA TELEFONE"/>
    <n v="0"/>
    <x v="0"/>
    <s v="10.37"/>
    <s v="gleise"/>
    <s v="181 a 360"/>
    <s v="CPC"/>
    <x v="2"/>
  </r>
  <r>
    <s v="COGECOM"/>
    <n v="54771444"/>
    <s v="TIAGO EDER DE OLIVEIRA"/>
    <s v="OUT"/>
    <s v="OUTROS"/>
    <n v="7122328937"/>
    <x v="0"/>
    <s v="297.92"/>
    <s v="98.44"/>
    <n v="225"/>
    <s v="AG RESPOSTA 1º CONTATO"/>
    <s v="ESTORNO"/>
    <n v="0"/>
    <x v="0"/>
    <s v="16.12"/>
    <s v="luciano"/>
    <s v="181 a 360"/>
    <s v="ACIONAMENTO"/>
    <x v="4"/>
  </r>
  <r>
    <s v="COGECOM"/>
    <n v="20339719"/>
    <s v="VALERIA DE ALMEIDA SILVA"/>
    <s v="OUT"/>
    <s v="OUTROS"/>
    <n v="80535828187"/>
    <x v="0"/>
    <s v="392.13"/>
    <s v="15.38"/>
    <n v="211"/>
    <s v="NÃO LOCALIZADO"/>
    <s v="TELEFONES SEM ATENDIMENTO"/>
    <n v="0"/>
    <x v="0"/>
    <s v="14.00"/>
    <s v="gleise"/>
    <s v="181 a 360"/>
    <s v="ACIONAMENTO"/>
    <x v="0"/>
  </r>
  <r>
    <s v="COGECOM"/>
    <n v="90466233"/>
    <s v="VINICIUS MACHADO VIEIRA"/>
    <s v="OUT"/>
    <s v="OUTROS"/>
    <n v="7226978997"/>
    <x v="0"/>
    <s v="1271.51"/>
    <s v="170.51"/>
    <n v="316"/>
    <s v="NÃO LOCALIZADO"/>
    <s v="TELEFONES SEM ATENDIMENTO"/>
    <n v="0"/>
    <x v="0"/>
    <s v="15.17"/>
    <s v="gleise"/>
    <s v="181 a 360"/>
    <s v="ACIONAMENTO"/>
    <x v="0"/>
  </r>
  <r>
    <s v="COGECOM"/>
    <n v="4001637484"/>
    <s v="VITOR ROBERTO TEIXEIRA MAIDANA"/>
    <s v="OUT"/>
    <s v="OUTROS"/>
    <n v="48330914020"/>
    <x v="0"/>
    <s v="847.69"/>
    <s v="424.43"/>
    <n v="645"/>
    <s v="NÃO LOCALIZADO"/>
    <s v="TELEFONES SEM ATENDIMENTO"/>
    <n v="0"/>
    <x v="0"/>
    <s v="15.16"/>
    <s v="gleise"/>
    <s v="Acima de 361"/>
    <s v="ACIONAMENTO"/>
    <x v="0"/>
  </r>
  <r>
    <s v="COGECOM"/>
    <n v="10009147924"/>
    <s v="WASHINGTON GONCALVES RODRIGUES"/>
    <s v="OUT"/>
    <s v="OUTROS"/>
    <n v="83078789187"/>
    <x v="0"/>
    <s v="169.18"/>
    <s v="76.91"/>
    <n v="226"/>
    <s v="SEM INTERESSE"/>
    <s v="NEGOCIAÇÃO VIA TELEFONE"/>
    <n v="0"/>
    <x v="0"/>
    <s v="15.21"/>
    <s v="gleise"/>
    <s v="181 a 360"/>
    <s v="CPC"/>
    <x v="1"/>
  </r>
  <r>
    <s v="COGECOM"/>
    <n v="3014900001"/>
    <s v="WELLINGTON ANTÔNIO PINTO ANICETO"/>
    <s v="OUT"/>
    <s v="OUTROS"/>
    <n v="1187664650"/>
    <x v="0"/>
    <s v="1635.87"/>
    <s v="352.13"/>
    <n v="252"/>
    <s v="NÃO LOCALIZADO"/>
    <s v="TELEFONES SEM ATENDIMENTO"/>
    <n v="0"/>
    <x v="0"/>
    <s v="13.37"/>
    <s v="gleise"/>
    <s v="181 a 360"/>
    <s v="ACIONAMENTO"/>
    <x v="0"/>
  </r>
  <r>
    <s v="COGECOM"/>
    <n v="10037114849"/>
    <s v="WILLIAN GUILHERME SOARES TEIXEIRA"/>
    <s v="OUT"/>
    <s v="OUTROS"/>
    <n v="2823718184"/>
    <x v="0"/>
    <s v="1621.30"/>
    <s v="487.36"/>
    <n v="380"/>
    <s v="NÃO LOCALIZADO"/>
    <s v="TELEFONES SEM ATENDIMENTO"/>
    <n v="0"/>
    <x v="0"/>
    <s v="9.44"/>
    <s v="gleise"/>
    <s v="Acima de 361"/>
    <s v="ACIONAMENTO"/>
    <x v="0"/>
  </r>
  <r>
    <s v="COGECOM"/>
    <n v="190145845"/>
    <s v="LUDIMILLA VERISSIMO DE ARAUJO"/>
    <s v="OUT"/>
    <s v="OUTROS"/>
    <n v="70271932139"/>
    <x v="0"/>
    <s v="2899.75"/>
    <s v="1161.20"/>
    <n v="337"/>
    <s v="NÃO LOCALIZADO"/>
    <s v="TELEFONES SEM ATENDIMENTO"/>
    <n v="0"/>
    <x v="0"/>
    <s v="9.42"/>
    <s v="gleise"/>
    <s v="181 a 360"/>
    <s v="ACIONAMENTO"/>
    <x v="0"/>
  </r>
  <r>
    <s v="COGECOM"/>
    <n v="3090535143"/>
    <s v="VANESSA SOUZA DE MELLO"/>
    <s v="OUT"/>
    <s v="OUTROS"/>
    <n v="1393640052"/>
    <x v="0"/>
    <s v="1382.34"/>
    <s v="956.94"/>
    <n v="378"/>
    <s v="NÃO LOCALIZADO"/>
    <s v="TELEFONES SEM ATENDIMENTO"/>
    <n v="0"/>
    <x v="0"/>
    <s v="9.08"/>
    <s v="gleise"/>
    <s v="Acima de 361"/>
    <s v="ACIONAMENTO"/>
    <x v="0"/>
  </r>
  <r>
    <s v="COGECOM"/>
    <n v="87891913"/>
    <s v="AROMA DO SÍTIO RESTAURANTE EIRELI"/>
    <s v="OUT"/>
    <s v="OUTROS"/>
    <n v="35649531000194"/>
    <x v="0"/>
    <s v="7279.49"/>
    <s v="771.16"/>
    <n v="556"/>
    <s v="NÃO LOCALIZADO"/>
    <s v="TELEFONES SEM ATENDIMENTO"/>
    <n v="0"/>
    <x v="0"/>
    <s v="9.11"/>
    <s v="gleise"/>
    <s v="Acima de 361"/>
    <s v="ACIONAMENTO"/>
    <x v="0"/>
  </r>
  <r>
    <s v="COGECOM"/>
    <n v="7231202"/>
    <s v="FIEDELES MEES"/>
    <s v="OUT"/>
    <s v="OUTROS"/>
    <n v="19384459968"/>
    <x v="0"/>
    <s v="551.57"/>
    <s v="314.99"/>
    <n v="165"/>
    <s v="NÃO LOCALIZADO"/>
    <s v="TELEFONES SEM ATENDIMENTO"/>
    <n v="0"/>
    <x v="0"/>
    <s v="9.45"/>
    <s v="gleise"/>
    <s v="91 a 180"/>
    <s v="ACIONAMENTO"/>
    <x v="0"/>
  </r>
  <r>
    <s v="COGECOM"/>
    <n v="3013351540"/>
    <s v="MARIA APARECIDA PEREIRA LOPES"/>
    <s v="OUT"/>
    <s v="OUTROS"/>
    <n v="92075460604"/>
    <x v="0"/>
    <s v="308.50"/>
    <s v="278.18"/>
    <n v="187"/>
    <s v="NÃO LOCALIZADO"/>
    <s v="TELEFONES SEM ATENDIMENTO"/>
    <n v="0"/>
    <x v="0"/>
    <s v="10.40"/>
    <s v="gleise"/>
    <s v="181 a 360"/>
    <s v="ACIONAMENTO"/>
    <x v="0"/>
  </r>
  <r>
    <s v="COGECOM"/>
    <n v="3000604361"/>
    <s v="PATRÍCIA MODESTO DE ANDRADE"/>
    <s v="OUT"/>
    <s v="OUTROS"/>
    <n v="13130853677"/>
    <x v="0"/>
    <s v="1473.22"/>
    <s v="263.26"/>
    <n v="191"/>
    <s v="NÃO LOCALIZADO"/>
    <s v="TELEFONES SEM ATENDIMENTO"/>
    <n v="0"/>
    <x v="0"/>
    <s v="13.40"/>
    <s v="gleise"/>
    <s v="181 a 360"/>
    <s v="ACIONAMENTO"/>
    <x v="0"/>
  </r>
  <r>
    <s v="COGECOM"/>
    <n v="2860042903"/>
    <s v="EDNALDO MARCAL DE ARAUJO"/>
    <s v="OUT"/>
    <s v="OUTROS"/>
    <n v="35774614115"/>
    <x v="0"/>
    <s v="440.63"/>
    <s v="142.54"/>
    <n v="197"/>
    <s v="SEM INTERESSE"/>
    <s v="NEGOCIAÇÃO VIA WHATSAPP"/>
    <n v="0"/>
    <x v="0"/>
    <s v="13.32"/>
    <s v="l.quadros"/>
    <s v="181 a 360"/>
    <s v="CPC"/>
    <x v="1"/>
  </r>
  <r>
    <s v="COGECOM"/>
    <n v="3000874565"/>
    <s v="GLAUCIA BENAVIDES DA SILVA"/>
    <s v="OUT"/>
    <s v="OUTROS"/>
    <n v="6527747683"/>
    <x v="0"/>
    <s v="605.16"/>
    <s v="94.64"/>
    <n v="184"/>
    <s v="NÃO LOCALIZADO"/>
    <s v="TELEFONES SEM ATENDIMENTO"/>
    <n v="0"/>
    <x v="0"/>
    <s v="15.22"/>
    <s v="gleise"/>
    <s v="181 a 360"/>
    <s v="ACIONAMENTO"/>
    <x v="0"/>
  </r>
  <r>
    <s v="COGECOM"/>
    <n v="3014130296"/>
    <s v="PEDRO AUGUSTO DE SANTANA"/>
    <s v="OUT"/>
    <s v="OUTROS"/>
    <n v="12811135650"/>
    <x v="0"/>
    <s v="151.96"/>
    <s v="87.52"/>
    <n v="169"/>
    <s v="SEM INTERESSE"/>
    <s v="NEGOCIAÇÃO VIA TELEFONE"/>
    <n v="0"/>
    <x v="0"/>
    <s v="15.23"/>
    <s v="gleise"/>
    <s v="91 a 180"/>
    <s v="CPC"/>
    <x v="1"/>
  </r>
  <r>
    <s v="COGECOM"/>
    <n v="3011297713"/>
    <s v="LEANDRO CHRISANDERSON MONTE ALTO"/>
    <s v="OUT"/>
    <s v="OUTROS"/>
    <n v="1404909656"/>
    <x v="0"/>
    <s v="402.23"/>
    <s v="85.49"/>
    <n v="189"/>
    <s v="NÃO LOCALIZADO"/>
    <s v="TELEFONES SEM ATENDIMENTO"/>
    <n v="0"/>
    <x v="0"/>
    <s v="15.25"/>
    <s v="gleise"/>
    <s v="181 a 360"/>
    <s v="ACIONAMENTO"/>
    <x v="0"/>
  </r>
  <r>
    <s v="COGECOM"/>
    <n v="10024239761"/>
    <s v="DEBORAH FERNANDA DINAPOLIS ALVES"/>
    <s v="OUT"/>
    <s v="OUTROS"/>
    <n v="3626711170"/>
    <x v="0"/>
    <s v="0.00"/>
    <s v="79.98"/>
    <n v="188"/>
    <s v="AG RESPOSTA 1º CONTATO"/>
    <s v="ALTERACAO DEBITO"/>
    <n v="14"/>
    <x v="0"/>
    <s v="12.27"/>
    <s v="elizabel"/>
    <s v="181 a 360"/>
    <s v="ACIONAMENTO"/>
    <x v="4"/>
  </r>
  <r>
    <s v="COGECOM"/>
    <n v="3082245728"/>
    <s v="ELTON ANDRE TAPIA DE OLIVEIRA"/>
    <s v="OUT"/>
    <s v="OUTROS"/>
    <n v="52315410010"/>
    <x v="0"/>
    <s v="937.50"/>
    <s v="355.35"/>
    <n v="181"/>
    <s v="NÃO LOCALIZADO"/>
    <s v="TELEFONES SEM ATENDIMENTO"/>
    <n v="0"/>
    <x v="0"/>
    <s v="15.26"/>
    <s v="gleise"/>
    <s v="181 a 360"/>
    <s v="ACIONAMENTO"/>
    <x v="0"/>
  </r>
  <r>
    <s v="COGECOM"/>
    <n v="3007577261"/>
    <s v="LEIDIANE DE JESUS CARVALHO BEIRAO"/>
    <s v="OUT"/>
    <s v="OUTROS"/>
    <n v="5919864508"/>
    <x v="0"/>
    <s v="415.04"/>
    <s v="213.52"/>
    <n v="154"/>
    <s v="NÃO LOCALIZADO"/>
    <s v="TELEFONES SEM ATENDIMENTO"/>
    <n v="0"/>
    <x v="0"/>
    <s v="15.27"/>
    <s v="gleise"/>
    <s v="91 a 180"/>
    <s v="ACIONAMENTO"/>
    <x v="0"/>
  </r>
  <r>
    <s v="COGECOM"/>
    <n v="10012037506"/>
    <s v="TREICY DOS REIS FERNANDES"/>
    <s v="OUT"/>
    <s v="OUTROS"/>
    <n v="3438207141"/>
    <x v="0"/>
    <s v="3729.54"/>
    <s v="472.15"/>
    <n v="241"/>
    <s v="NÃO LOCALIZADO"/>
    <s v="TELEFONES SEM ATENDIMENTO"/>
    <n v="0"/>
    <x v="0"/>
    <s v="15.26"/>
    <s v="gleise"/>
    <s v="181 a 360"/>
    <s v="ACIONAMENTO"/>
    <x v="0"/>
  </r>
  <r>
    <s v="COGECOM"/>
    <n v="550142186"/>
    <s v="GILBERTO RIBEIRO"/>
    <s v="OUT"/>
    <s v="OUTROS"/>
    <n v="28918770120"/>
    <x v="0"/>
    <s v="409.93"/>
    <s v="26.62"/>
    <n v="155"/>
    <s v="NÃO LOCALIZADO"/>
    <s v="TELEFONES SEM ATENDIMENTO"/>
    <n v="0"/>
    <x v="0"/>
    <s v="9.41"/>
    <s v="gleise"/>
    <s v="91 a 180"/>
    <s v="ACIONAMENTO"/>
    <x v="0"/>
  </r>
  <r>
    <s v="COGECOM"/>
    <n v="10030601540"/>
    <s v="PAULO EDUARDO NERY AZEVEDO"/>
    <s v="OUT"/>
    <s v="OUTROS"/>
    <n v="2841287165"/>
    <x v="0"/>
    <s v="113.73"/>
    <s v="133.53"/>
    <n v="148"/>
    <s v="SEM INTERESSE"/>
    <s v="GERAÇÃO DE ACORDO"/>
    <n v="14"/>
    <x v="0"/>
    <s v="13.52"/>
    <s v="gleise"/>
    <s v="91 a 180"/>
    <s v="CPC"/>
    <x v="1"/>
  </r>
  <r>
    <s v="COGECOM"/>
    <n v="4001519237"/>
    <s v="ADRIANA LEITE"/>
    <s v="OUT"/>
    <s v="OUTROS"/>
    <n v="754122093"/>
    <x v="0"/>
    <s v="248.94"/>
    <s v="248.94"/>
    <n v="185"/>
    <s v="NÃO LOCALIZADO"/>
    <s v="TELEFONES SEM ATENDIMENTO"/>
    <n v="0"/>
    <x v="0"/>
    <s v="15.28"/>
    <s v="gleise"/>
    <s v="181 a 360"/>
    <s v="ACIONAMENTO"/>
    <x v="0"/>
  </r>
  <r>
    <s v="COGECOM"/>
    <n v="54171196"/>
    <s v="ANDRE AUGUSTO SUAVE"/>
    <s v="OUT"/>
    <s v="OUTROS"/>
    <n v="6483199970"/>
    <x v="0"/>
    <s v="189.54"/>
    <s v="189.54"/>
    <n v="154"/>
    <s v="SEM INTERESSE"/>
    <s v="NEGOCIAÇÃO VIA WHATSAPP"/>
    <n v="0"/>
    <x v="0"/>
    <s v="15.50"/>
    <s v="l.quadros"/>
    <s v="91 a 180"/>
    <s v="CPC"/>
    <x v="1"/>
  </r>
  <r>
    <s v="COGECOM"/>
    <n v="94119686"/>
    <s v="WESLEY JHONATAN BARBOSA"/>
    <s v="OUT"/>
    <s v="OUTROS"/>
    <n v="11258286920"/>
    <x v="0"/>
    <s v="1726.46"/>
    <s v="400.15"/>
    <n v="160"/>
    <s v="NÃO LOCALIZADO"/>
    <s v="TELEFONES SEM ATENDIMENTO"/>
    <n v="0"/>
    <x v="0"/>
    <s v="15.30"/>
    <s v="gleise"/>
    <s v="91 a 180"/>
    <s v="ACIONAMENTO"/>
    <x v="0"/>
  </r>
  <r>
    <s v="COGECOM"/>
    <n v="75126729"/>
    <s v="MARCOS ANTONIO PASQUINI"/>
    <s v="OUT"/>
    <s v="OUTROS"/>
    <n v="46201866949"/>
    <x v="0"/>
    <s v="434.98"/>
    <s v="434.98"/>
    <n v="158"/>
    <s v="NÃO LOCALIZADO"/>
    <s v="TELEFONES SEM ATENDIMENTO"/>
    <n v="0"/>
    <x v="0"/>
    <s v="15.29"/>
    <s v="gleise"/>
    <s v="91 a 180"/>
    <s v="ACIONAMENTO"/>
    <x v="0"/>
  </r>
  <r>
    <s v="COGECOM"/>
    <n v="91618843"/>
    <s v="ALZIMIRO DONATO FLORIANO"/>
    <s v="OUT"/>
    <s v="OUTROS"/>
    <n v="62954547987"/>
    <x v="0"/>
    <s v="361.11"/>
    <s v="54.75"/>
    <n v="164"/>
    <s v="SEM INTERESSE"/>
    <s v="NEGOCIAÇÃO VIA TELEFONE"/>
    <n v="0"/>
    <x v="0"/>
    <s v="13.23"/>
    <s v="gleise"/>
    <s v="91 a 180"/>
    <s v="CPC"/>
    <x v="1"/>
  </r>
  <r>
    <s v="COGECOM"/>
    <n v="62265695"/>
    <s v="LUCILDA DE BASTIANI"/>
    <s v="OUT"/>
    <s v="OUTROS"/>
    <n v="78138116900"/>
    <x v="0"/>
    <s v="967.79"/>
    <s v="257.57"/>
    <n v="164"/>
    <s v="NÃO LOCALIZADO"/>
    <s v="TELEFONES SEM ATENDIMENTO"/>
    <n v="0"/>
    <x v="0"/>
    <s v="15.31"/>
    <s v="gleise"/>
    <s v="91 a 180"/>
    <s v="ACIONAMENTO"/>
    <x v="0"/>
  </r>
  <r>
    <s v="COGECOM"/>
    <n v="36481963"/>
    <s v="LAERCIO DE LARA"/>
    <s v="OUT"/>
    <s v="OUTROS"/>
    <n v="4969808902"/>
    <x v="0"/>
    <s v="932.86"/>
    <s v="207.05"/>
    <n v="164"/>
    <s v="NÃO LOCALIZADO"/>
    <s v="TELEFONES SEM ATENDIMENTO"/>
    <n v="0"/>
    <x v="0"/>
    <s v="15.30"/>
    <s v="gleise"/>
    <s v="91 a 180"/>
    <s v="ACIONAMENTO"/>
    <x v="0"/>
  </r>
  <r>
    <s v="COGECOM"/>
    <n v="68800959"/>
    <s v="ROSANA CRISTINA FERREIRA DE VARGAS"/>
    <s v="OUT"/>
    <s v="OUTROS"/>
    <n v="3377805958"/>
    <x v="0"/>
    <s v="353.94"/>
    <s v="183.33"/>
    <n v="164"/>
    <s v="NÃO LOCALIZADO"/>
    <s v="TELEFONES SEM ATENDIMENTO"/>
    <n v="0"/>
    <x v="0"/>
    <s v="15.31"/>
    <s v="gleise"/>
    <s v="91 a 180"/>
    <s v="ACIONAMENTO"/>
    <x v="0"/>
  </r>
  <r>
    <s v="COGECOM"/>
    <n v="19733232"/>
    <s v="ALESSANDRO DE QUEIROS"/>
    <s v="OUT"/>
    <s v="OUTROS"/>
    <n v="992684935"/>
    <x v="0"/>
    <s v="3881.63"/>
    <s v="1676.84"/>
    <n v="400"/>
    <s v="AG RESPOSTA 1º CONTATO"/>
    <s v="ENVIADO MSG/E-MAIL 1º CONTATO"/>
    <n v="0"/>
    <x v="0"/>
    <s v="11.57"/>
    <s v="l.quadros"/>
    <s v="Acima de 361"/>
    <s v="ACIONAMENTO"/>
    <x v="4"/>
  </r>
  <r>
    <s v="COGECOM"/>
    <n v="3005745053"/>
    <s v="ADAILSON JORGE DE SOUZA MOURAO"/>
    <s v="OUT"/>
    <s v="OUTROS"/>
    <n v="48059102672"/>
    <x v="0"/>
    <s v="268.48"/>
    <s v="27.39"/>
    <n v="160"/>
    <s v="NÃO LOCALIZADO"/>
    <s v="GERAÇÃO DE ACORDO"/>
    <n v="16"/>
    <x v="0"/>
    <s v="11.44"/>
    <s v="gleise"/>
    <s v="91 a 180"/>
    <s v="CPC"/>
    <x v="0"/>
  </r>
  <r>
    <s v="COGECOM"/>
    <n v="3005341828"/>
    <s v="MARLENE DA SILVA SANTOS"/>
    <s v="OUT"/>
    <s v="OUTROS"/>
    <n v="73272183604"/>
    <x v="0"/>
    <s v="381.54"/>
    <s v="63.18"/>
    <n v="160"/>
    <s v="EM NEGOCIAÇÃO"/>
    <s v="NEGOCIAÇÃO VIA TELEFONE"/>
    <n v="0"/>
    <x v="0"/>
    <s v="11.26"/>
    <s v="gleise"/>
    <s v="91 a 180"/>
    <s v="CPC"/>
    <x v="2"/>
  </r>
  <r>
    <s v="COGECOM"/>
    <n v="3004386410"/>
    <s v="FABIO JUNIO MONTES"/>
    <s v="OUT"/>
    <s v="OUTROS"/>
    <n v="841465673"/>
    <x v="0"/>
    <s v="506.44"/>
    <s v="118.06"/>
    <n v="167"/>
    <s v="SEM INTERESSE"/>
    <s v="NEGOCIAÇÃO VIA WHATSAPP"/>
    <n v="0"/>
    <x v="0"/>
    <s v="11.31"/>
    <s v="l.quadros"/>
    <s v="91 a 180"/>
    <s v="CPC"/>
    <x v="1"/>
  </r>
  <r>
    <s v="COGECOM"/>
    <n v="3014118074"/>
    <s v="BRENO GOULART MARTINS"/>
    <s v="OUT"/>
    <s v="OUTROS"/>
    <n v="14293976671"/>
    <x v="0"/>
    <s v="705.92"/>
    <s v="206.00"/>
    <n v="161"/>
    <s v="SEM INTERESSE"/>
    <s v="NEGOCIAÇÃO VIA TELEFONE"/>
    <n v="0"/>
    <x v="0"/>
    <s v="15.35"/>
    <s v="gleise"/>
    <s v="91 a 180"/>
    <s v="CPC"/>
    <x v="1"/>
  </r>
  <r>
    <s v="COGECOM"/>
    <n v="3002087016"/>
    <s v="JOAO FABIANO DE SA"/>
    <s v="OUT"/>
    <s v="OUTROS"/>
    <n v="5059462625"/>
    <x v="0"/>
    <s v="407.04"/>
    <s v="63.18"/>
    <n v="160"/>
    <s v="NÃO LOCALIZADO"/>
    <s v="TELEFONES SEM ATENDIMENTO"/>
    <n v="0"/>
    <x v="0"/>
    <s v="11.32"/>
    <s v="gleise"/>
    <s v="91 a 180"/>
    <s v="ACIONAMENTO"/>
    <x v="0"/>
  </r>
  <r>
    <s v="COGECOM"/>
    <n v="3013135222"/>
    <s v="CARLOS HENRIQUE ALVES VIEIRA"/>
    <s v="OUT"/>
    <s v="OUTROS"/>
    <n v="514768606"/>
    <x v="0"/>
    <s v="1080.38"/>
    <s v="63.18"/>
    <n v="160"/>
    <s v="NÃO LOCALIZADO"/>
    <s v="TELEFONES SEM ATENDIMENTO"/>
    <n v="0"/>
    <x v="0"/>
    <s v="13.20"/>
    <s v="gleise"/>
    <s v="91 a 180"/>
    <s v="ACIONAMENTO"/>
    <x v="0"/>
  </r>
  <r>
    <s v="COGECOM"/>
    <n v="53901568"/>
    <s v="DAVID DE JESUS DANZIGER"/>
    <s v="OUT"/>
    <s v="OUTROS"/>
    <n v="624655970"/>
    <x v="0"/>
    <s v="530.91"/>
    <s v="174.32"/>
    <n v="151"/>
    <s v="NÃO LOCALIZADO"/>
    <s v="TELEFONES SEM ATENDIMENTO"/>
    <n v="0"/>
    <x v="0"/>
    <s v="15.36"/>
    <s v="gleise"/>
    <s v="91 a 180"/>
    <s v="ACIONAMENTO"/>
    <x v="0"/>
  </r>
  <r>
    <s v="COGECOM"/>
    <n v="10029273429"/>
    <s v="CLESIO DE JESUS BORGES"/>
    <s v="OUT"/>
    <s v="OUTROS"/>
    <n v="1661407161"/>
    <x v="0"/>
    <s v="19032.15"/>
    <s v="2056.44"/>
    <n v="275"/>
    <s v="NÃO LOCALIZADO"/>
    <s v="TELEFONES SEM ATENDIMENTO"/>
    <n v="0"/>
    <x v="0"/>
    <s v="15.37"/>
    <s v="gleise"/>
    <s v="181 a 360"/>
    <s v="ACIONAMENTO"/>
    <x v="0"/>
  </r>
  <r>
    <s v="COGECOM"/>
    <n v="53866231"/>
    <s v="FABIO ANDRIOLI FERREIRA"/>
    <s v="OUT"/>
    <s v="OUTROS"/>
    <n v="6861685933"/>
    <x v="0"/>
    <s v="4030.27"/>
    <s v="991.94"/>
    <n v="192"/>
    <s v="NÃO LOCALIZADO"/>
    <s v="TELEFONES SEM ATENDIMENTO"/>
    <n v="0"/>
    <x v="0"/>
    <s v="11.47"/>
    <s v="gleise"/>
    <s v="181 a 360"/>
    <s v="ACIONAMENTO"/>
    <x v="0"/>
  </r>
  <r>
    <s v="COGECOM"/>
    <n v="92097448"/>
    <s v="SILVANA ROSA"/>
    <s v="OUT"/>
    <s v="OUTROS"/>
    <n v="5866112906"/>
    <x v="0"/>
    <s v="1908.51"/>
    <s v="760.94"/>
    <n v="192"/>
    <s v="EM NEGOCIAÇÃO"/>
    <s v="ALTERACAO DEBITO"/>
    <n v="9"/>
    <x v="0"/>
    <s v="12.39"/>
    <s v="elizabel"/>
    <s v="181 a 360"/>
    <s v="ACIONAMENTO"/>
    <x v="2"/>
  </r>
  <r>
    <s v="COGECOM"/>
    <n v="1060112647"/>
    <s v="MARIA APARECIDA BEZERRA"/>
    <s v="OUT"/>
    <s v="OUTROS"/>
    <n v="2654732410"/>
    <x v="0"/>
    <s v="674.77"/>
    <s v="571.01"/>
    <n v="143"/>
    <s v="NÃO LOCALIZADO"/>
    <s v="TELEFONES SEM ATENDIMENTO"/>
    <n v="0"/>
    <x v="0"/>
    <s v="9.43"/>
    <s v="gleise"/>
    <s v="91 a 180"/>
    <s v="ACIONAMENTO"/>
    <x v="0"/>
  </r>
  <r>
    <s v="COGECOM"/>
    <n v="14533146"/>
    <s v="NEIDE DE FATIMA PIMENTEL COSTA"/>
    <s v="OUT"/>
    <s v="OUTROS"/>
    <n v="6759913825"/>
    <x v="0"/>
    <s v="270.19"/>
    <s v="270.19"/>
    <n v="132"/>
    <s v="NÃO LOCALIZADO"/>
    <s v="TELEFONES SEM ATENDIMENTO"/>
    <n v="0"/>
    <x v="0"/>
    <s v="13.02"/>
    <s v="gleise"/>
    <s v="91 a 180"/>
    <s v="ACIONAMENTO"/>
    <x v="0"/>
  </r>
  <r>
    <s v="COGECOM"/>
    <n v="4001723821"/>
    <s v="CLAUDETE PERES"/>
    <s v="OUT"/>
    <s v="OUTROS"/>
    <n v="11940878845"/>
    <x v="0"/>
    <s v="251.61"/>
    <s v="251.61"/>
    <n v="132"/>
    <s v="NÃO LOCALIZADO"/>
    <s v="TELEFONES SEM ATENDIMENTO"/>
    <n v="0"/>
    <x v="0"/>
    <s v="13.03"/>
    <s v="gleise"/>
    <s v="91 a 180"/>
    <s v="ACIONAMENTO"/>
    <x v="0"/>
  </r>
  <r>
    <s v="COGECOM"/>
    <n v="72535326"/>
    <s v="ARVILENA KUTZKE COLLYER DE MAGALHAES"/>
    <s v="OUT"/>
    <s v="OUTROS"/>
    <n v="87314223904"/>
    <x v="0"/>
    <s v="724.76"/>
    <s v="250.06"/>
    <n v="137"/>
    <s v="NÃO LOCALIZADO"/>
    <s v="TELEFONES SEM ATENDIMENTO"/>
    <n v="0"/>
    <x v="0"/>
    <s v="15.38"/>
    <s v="gleise"/>
    <s v="91 a 180"/>
    <s v="ACIONAMENTO"/>
    <x v="0"/>
  </r>
  <r>
    <s v="COGECOM"/>
    <n v="79037267"/>
    <s v="WILLAMS ALMEIDA MOTA"/>
    <s v="OUT"/>
    <s v="OUTROS"/>
    <n v="1974828999"/>
    <x v="0"/>
    <s v="684.28"/>
    <s v="216.18"/>
    <n v="133"/>
    <s v="SEM INTERESSE"/>
    <s v="NEGOCIAÇÃO VIA TELEFONE"/>
    <n v="0"/>
    <x v="0"/>
    <s v="15.46"/>
    <s v="gleise"/>
    <s v="91 a 180"/>
    <s v="CPC"/>
    <x v="1"/>
  </r>
  <r>
    <s v="COGECOM"/>
    <n v="3010793524"/>
    <s v="MARCELO PAIVA NORTE"/>
    <s v="OUT"/>
    <s v="OUTROS"/>
    <n v="5054789600"/>
    <x v="0"/>
    <s v="271.66"/>
    <s v="122.27"/>
    <n v="150"/>
    <s v="NÃO LOCALIZADO"/>
    <s v="TELEFONES SEM ATENDIMENTO"/>
    <n v="0"/>
    <x v="0"/>
    <s v="11.24"/>
    <s v="gleise"/>
    <s v="91 a 180"/>
    <s v="ACIONAMENTO"/>
    <x v="0"/>
  </r>
  <r>
    <s v="COGECOM"/>
    <n v="2440020870"/>
    <s v="SEBASTIANA TAVEIRA DE MATOS PEREIRA"/>
    <s v="OUT"/>
    <s v="OUTROS"/>
    <n v="39774007115"/>
    <x v="0"/>
    <s v="86.58"/>
    <s v="116.03"/>
    <n v="145"/>
    <s v="NÃO LOCALIZADO"/>
    <s v="TELEFONES SEM ATENDIMENTO"/>
    <n v="0"/>
    <x v="0"/>
    <s v="13.57"/>
    <s v="gleise"/>
    <s v="91 a 180"/>
    <s v="ACIONAMENTO"/>
    <x v="0"/>
  </r>
  <r>
    <s v="COGECOM"/>
    <n v="10032436929"/>
    <s v="WANDERSON CARLOS CABRAL COSTA"/>
    <s v="OUT"/>
    <s v="OUTROS"/>
    <n v="1287233198"/>
    <x v="0"/>
    <s v="112.35"/>
    <s v="112.35"/>
    <n v="150"/>
    <s v="NÃO LOCALIZADO"/>
    <s v="TELEFONES SEM ATENDIMENTO"/>
    <n v="0"/>
    <x v="0"/>
    <s v="9.27"/>
    <s v="gleise"/>
    <s v="91 a 180"/>
    <s v="ACIONAMENTO"/>
    <x v="0"/>
  </r>
  <r>
    <s v="COGECOM"/>
    <n v="3012569045"/>
    <s v="DANTIELLE CRISTINA MARINHO"/>
    <s v="OUT"/>
    <s v="OUTROS"/>
    <n v="10744202680"/>
    <x v="0"/>
    <s v="105.70"/>
    <s v="106.42"/>
    <n v="133"/>
    <s v="EM NEGOCIAÇÃO"/>
    <s v="ALTERACAO DEBITO"/>
    <n v="15"/>
    <x v="0"/>
    <s v="12.24"/>
    <s v="elizabel"/>
    <s v="91 a 180"/>
    <s v="ACIONAMENTO"/>
    <x v="2"/>
  </r>
  <r>
    <s v="COGECOM"/>
    <n v="101734808"/>
    <s v="JOAO MARIA MACHADO DOS SANTOS"/>
    <s v="OUT"/>
    <s v="OUTROS"/>
    <n v="53732804968"/>
    <x v="0"/>
    <s v="100.47"/>
    <s v="65.77"/>
    <n v="135"/>
    <s v="NÃO LOCALIZADO"/>
    <s v="TELEFONES SEM ATENDIMENTO"/>
    <n v="0"/>
    <x v="0"/>
    <s v="13.58"/>
    <s v="gleise"/>
    <s v="91 a 180"/>
    <s v="ACIONAMENTO"/>
    <x v="0"/>
  </r>
  <r>
    <s v="COGECOM"/>
    <n v="3085085836"/>
    <s v="LEURIS MAGNI"/>
    <s v="OUT"/>
    <s v="OUTROS"/>
    <n v="4526766000165"/>
    <x v="0"/>
    <s v="606.82"/>
    <s v="305.38"/>
    <n v="103"/>
    <s v="NÃO LOCALIZADO"/>
    <s v="TELEFONES SEM ATENDIMENTO"/>
    <n v="0"/>
    <x v="0"/>
    <s v="11.58"/>
    <s v="gleise"/>
    <s v="91 a 180"/>
    <s v="ACIONAMENTO"/>
    <x v="0"/>
  </r>
  <r>
    <s v="COGECOM"/>
    <n v="3085663463"/>
    <s v="EVERSON MOREIRA"/>
    <s v="OUT"/>
    <s v="OUTROS"/>
    <n v="624258033"/>
    <x v="0"/>
    <s v="207.46"/>
    <s v="207.46"/>
    <n v="92"/>
    <s v="NÃO LOCALIZADO"/>
    <s v="TELEFONES SEM ATENDIMENTO"/>
    <n v="0"/>
    <x v="0"/>
    <s v="15.48"/>
    <s v="gleise"/>
    <s v="91 a 180"/>
    <s v="ACIONAMENTO"/>
    <x v="0"/>
  </r>
  <r>
    <s v="COGECOM"/>
    <n v="31479162"/>
    <s v="ALAN JONES WULFF"/>
    <s v="OUT"/>
    <s v="OUTROS"/>
    <n v="3096150974"/>
    <x v="0"/>
    <s v="1802.50"/>
    <s v="591.45"/>
    <n v="100"/>
    <s v="NÃO LOCALIZADO"/>
    <s v="TELEFONES SEM ATENDIMENTO"/>
    <n v="0"/>
    <x v="0"/>
    <s v="15.47"/>
    <s v="gleise"/>
    <s v="91 a 180"/>
    <s v="ACIONAMENTO"/>
    <x v="0"/>
  </r>
  <r>
    <s v="COGECOM"/>
    <n v="42644658"/>
    <s v="VALDECIR DE BRITO TEIXEIRA"/>
    <s v="OUT"/>
    <s v="OUTROS"/>
    <n v="10642379831"/>
    <x v="0"/>
    <s v="248.84"/>
    <s v="248.84"/>
    <n v="103"/>
    <s v="NÃO LOCALIZADO"/>
    <s v="TELEFONES SEM ATENDIMENTO"/>
    <n v="0"/>
    <x v="0"/>
    <s v="15.48"/>
    <s v="gleise"/>
    <s v="91 a 180"/>
    <s v="ACIONAMENTO"/>
    <x v="0"/>
  </r>
  <r>
    <s v="COGECOM"/>
    <n v="74244159"/>
    <s v="MARISTELA DIEHL"/>
    <s v="OUT"/>
    <s v="OUTROS"/>
    <n v="4544594910"/>
    <x v="0"/>
    <s v="689.23"/>
    <s v="260.48"/>
    <n v="103"/>
    <s v="NÃO LOCALIZADO"/>
    <s v="TELEFONES SEM ATENDIMENTO"/>
    <n v="0"/>
    <x v="0"/>
    <s v="15.49"/>
    <s v="gleise"/>
    <s v="91 a 180"/>
    <s v="ACIONAMENTO"/>
    <x v="0"/>
  </r>
  <r>
    <s v="COGECOM"/>
    <n v="64922332"/>
    <s v="PAULO CESAR OLENIKI"/>
    <s v="OUT"/>
    <s v="OUTROS"/>
    <n v="80561390959"/>
    <x v="0"/>
    <s v="149.17"/>
    <s v="133.34"/>
    <n v="103"/>
    <s v="EM NEGOCIAÇÃO"/>
    <s v="TELEFONES SEM ATENDIMENTO"/>
    <n v="0"/>
    <x v="0"/>
    <s v="11.14"/>
    <s v="gleise"/>
    <s v="91 a 180"/>
    <s v="ACIONAMENTO"/>
    <x v="2"/>
  </r>
  <r>
    <s v="COGECOM"/>
    <n v="66420229"/>
    <s v="JOELSON AMARO FERREIRA"/>
    <s v="OUT"/>
    <s v="OUTROS"/>
    <n v="4166690930"/>
    <x v="0"/>
    <s v="1851.17"/>
    <s v="1851.17"/>
    <n v="254"/>
    <s v="NÃO LOCALIZADO"/>
    <s v="TELEFONES SEM ATENDIMENTO"/>
    <n v="0"/>
    <x v="0"/>
    <s v="15.50"/>
    <s v="gleise"/>
    <s v="181 a 360"/>
    <s v="ACIONAMENTO"/>
    <x v="0"/>
  </r>
  <r>
    <s v="COGECOM"/>
    <n v="3004972916"/>
    <s v="DOUGLAS GUERRA DE SOUZA"/>
    <s v="OUT"/>
    <s v="OUTROS"/>
    <n v="8529178645"/>
    <x v="0"/>
    <s v="174.32"/>
    <s v="64.40"/>
    <n v="154"/>
    <s v="SEM INTERESSE"/>
    <s v="NEGOCIAÇÃO VIA TELEFONE"/>
    <n v="0"/>
    <x v="0"/>
    <s v="15.53"/>
    <s v="gleise"/>
    <s v="91 a 180"/>
    <s v="CPC"/>
    <x v="1"/>
  </r>
  <r>
    <s v="COGECOM"/>
    <n v="3095529683"/>
    <s v="LUCIANO DE BARCELOS SOARES"/>
    <s v="OUT"/>
    <s v="OUTROS"/>
    <n v="3666848095"/>
    <x v="0"/>
    <s v="202.77"/>
    <s v="202.77"/>
    <n v="148"/>
    <s v="NÃO LOCALIZADO"/>
    <s v="TELEFONES SEM ATENDIMENTO"/>
    <n v="0"/>
    <x v="0"/>
    <s v="15.55"/>
    <s v="gleise"/>
    <s v="91 a 180"/>
    <s v="ACIONAMENTO"/>
    <x v="0"/>
  </r>
  <r>
    <s v="COGECOM"/>
    <n v="84411449"/>
    <s v="ARNALDO BARBOZA DE ANDRADE"/>
    <s v="OUT"/>
    <s v="OUTROS"/>
    <n v="55617883100"/>
    <x v="0"/>
    <s v="484.77"/>
    <s v="118.55"/>
    <n v="144"/>
    <s v="NÃO LOCALIZADO"/>
    <s v="TELEFONES SEM ATENDIMENTO"/>
    <n v="0"/>
    <x v="0"/>
    <s v="15.56"/>
    <s v="gleise"/>
    <s v="91 a 180"/>
    <s v="ACIONAMENTO"/>
    <x v="0"/>
  </r>
  <r>
    <s v="COGECOM"/>
    <n v="3085438336"/>
    <s v="CLAUDIO ANTONIO NEGRETTI"/>
    <s v="OUT"/>
    <s v="OUTROS"/>
    <n v="73298409049"/>
    <x v="0"/>
    <s v="86.45"/>
    <s v="59.56"/>
    <n v="150"/>
    <s v="NÃO LOCALIZADO"/>
    <s v="TELEFONES SEM ATENDIMENTO"/>
    <n v="0"/>
    <x v="0"/>
    <s v="15.55"/>
    <s v="gleise"/>
    <s v="91 a 180"/>
    <s v="ACIONAMENTO"/>
    <x v="0"/>
  </r>
  <r>
    <s v="COGECOM"/>
    <n v="26438837"/>
    <s v="MAPLE STEAKHOUSE EIRELI"/>
    <s v="OUT"/>
    <s v="OUTROS"/>
    <n v="40981759000117"/>
    <x v="0"/>
    <s v="20271.95"/>
    <s v="8444.17"/>
    <n v="89"/>
    <s v="NÃO LOCALIZADO"/>
    <s v="TELEFONES SEM ATENDIMENTO"/>
    <n v="0"/>
    <x v="0"/>
    <s v="14.02"/>
    <s v="gleise"/>
    <s v="61 a 90"/>
    <s v="ACIONAMENTO"/>
    <x v="0"/>
  </r>
  <r>
    <s v="COGECOM"/>
    <n v="50362097"/>
    <s v="EDSON CHAGAS LEITE"/>
    <s v="OUT"/>
    <s v="OUTROS"/>
    <n v="79106307949"/>
    <x v="0"/>
    <s v="441.91"/>
    <s v="70.55"/>
    <n v="137"/>
    <s v="NÃO LOCALIZADO"/>
    <s v="TELEFONES SEM ATENDIMENTO"/>
    <n v="0"/>
    <x v="0"/>
    <s v="15.57"/>
    <s v="gleise"/>
    <s v="91 a 180"/>
    <s v="ACIONAMENTO"/>
    <x v="0"/>
  </r>
  <r>
    <s v="COGECOM"/>
    <n v="4560868"/>
    <s v="ACACIO ALEXANDRE CARNEIRO"/>
    <s v="OUT"/>
    <s v="OUTROS"/>
    <n v="31600609856"/>
    <x v="0"/>
    <s v="413.54"/>
    <s v="413.54"/>
    <n v="132"/>
    <s v="NÃO LOCALIZADO"/>
    <s v="TELEFONES SEM ATENDIMENTO"/>
    <n v="0"/>
    <x v="0"/>
    <s v="15.57"/>
    <s v="gleise"/>
    <s v="91 a 180"/>
    <s v="ACIONAMENTO"/>
    <x v="0"/>
  </r>
  <r>
    <s v="COGECOM"/>
    <n v="3092695245"/>
    <s v="ALMIRA SANTOS NUNES"/>
    <s v="OUT"/>
    <s v="OUTROS"/>
    <n v="712062050"/>
    <x v="0"/>
    <s v="1066.67"/>
    <s v="434.31"/>
    <n v="123"/>
    <s v="NÃO LOCALIZADO"/>
    <s v="TELEFONES SEM ATENDIMENTO"/>
    <n v="0"/>
    <x v="0"/>
    <s v="15.59"/>
    <s v="gleise"/>
    <s v="91 a 180"/>
    <s v="ACIONAMENTO"/>
    <x v="0"/>
  </r>
  <r>
    <s v="COGECOM"/>
    <n v="108346145"/>
    <s v="PAULO TEXEIRA MARTINS"/>
    <s v="OUT"/>
    <s v="OUTROS"/>
    <n v="70091374987"/>
    <x v="0"/>
    <s v="35.12"/>
    <s v="35.12"/>
    <n v="128"/>
    <s v="NÃO LOCALIZADO"/>
    <s v="TELEFONES SEM ATENDIMENTO"/>
    <n v="0"/>
    <x v="0"/>
    <s v="15.59"/>
    <s v="gleise"/>
    <s v="91 a 180"/>
    <s v="ACIONAMENTO"/>
    <x v="0"/>
  </r>
  <r>
    <s v="COGECOM"/>
    <n v="3002434142"/>
    <s v="CARLA EPONINA GOMES SILVA"/>
    <s v="OUT"/>
    <s v="OUTROS"/>
    <n v="8184541643"/>
    <x v="0"/>
    <s v="35.97"/>
    <s v="35.97"/>
    <n v="126"/>
    <s v="NÃO LOCALIZADO"/>
    <s v="TELEFONES SEM ATENDIMENTO"/>
    <n v="0"/>
    <x v="0"/>
    <s v="16.00"/>
    <s v="gleise"/>
    <s v="91 a 180"/>
    <s v="ACIONAMENTO"/>
    <x v="0"/>
  </r>
  <r>
    <s v="COGECOM"/>
    <n v="3011394431"/>
    <s v="PRISCILA DE FATIMA ALMEIDA GOMES"/>
    <s v="OUT"/>
    <s v="OUTROS"/>
    <n v="5886787674"/>
    <x v="0"/>
    <s v="136.60"/>
    <s v="136.60"/>
    <n v="125"/>
    <s v="NÃO LOCALIZADO"/>
    <s v="TELEFONES SEM ATENDIMENTO"/>
    <n v="0"/>
    <x v="0"/>
    <s v="10.14"/>
    <s v="gleise"/>
    <s v="91 a 180"/>
    <s v="ACIONAMENTO"/>
    <x v="0"/>
  </r>
  <r>
    <s v="COGECOM"/>
    <n v="7056478"/>
    <s v="EVERALDO JOAO SIERBIN"/>
    <s v="OUT"/>
    <s v="OUTROS"/>
    <n v="2529748918"/>
    <x v="0"/>
    <s v="3197.88"/>
    <s v="1122.67"/>
    <n v="123"/>
    <s v="AG RESPOSTA 1º CONTATO"/>
    <s v="ENVIADO MSG/E-MAIL 1º CONTATO"/>
    <n v="0"/>
    <x v="0"/>
    <s v="9.28"/>
    <s v="l.quadros"/>
    <s v="91 a 180"/>
    <s v="ACIONAMENTO"/>
    <x v="4"/>
  </r>
  <r>
    <s v="COGECOM"/>
    <n v="94843597"/>
    <s v="LEANDRO SOBREIRO PEREIRA PINTO"/>
    <s v="OUT"/>
    <s v="OUTROS"/>
    <n v="7810043900"/>
    <x v="0"/>
    <s v="499.72"/>
    <s v="181.40"/>
    <n v="87"/>
    <s v="SEM INTERESSE"/>
    <s v="NEGOCIAÇÃO VIA TELEFONE"/>
    <n v="0"/>
    <x v="0"/>
    <s v="16.04"/>
    <s v="gleise"/>
    <s v="61 a 90"/>
    <s v="CPC"/>
    <x v="1"/>
  </r>
  <r>
    <s v="COGECOM"/>
    <n v="3085053540"/>
    <s v="CONDOMÍNIO MORADA DOS PINHAIS"/>
    <s v="OUT"/>
    <s v="OUTROS"/>
    <n v="2662214000159"/>
    <x v="1"/>
    <s v="1628.65"/>
    <s v="1478.32"/>
    <n v="87"/>
    <s v="ACORDO VIGENTE COLCHÃO EM DIA"/>
    <s v="NEGOCIAÇÃO VIA TELEFONE"/>
    <n v="0"/>
    <x v="0"/>
    <s v="10.23"/>
    <s v="gleise"/>
    <s v="61 a 90"/>
    <s v="CPC"/>
    <x v="2"/>
  </r>
  <r>
    <s v="COGECOM"/>
    <n v="101899874"/>
    <s v="ALINE PAULA MARTINS"/>
    <s v="OUT"/>
    <s v="OUTROS"/>
    <n v="5658589983"/>
    <x v="0"/>
    <s v="324.42"/>
    <s v="134.38"/>
    <n v="82"/>
    <s v="NÃO LOCALIZADO"/>
    <s v="TELEFONES SEM ATENDIMENTO"/>
    <n v="0"/>
    <x v="0"/>
    <s v="16.05"/>
    <s v="gleise"/>
    <s v="61 a 90"/>
    <s v="ACIONAMENTO"/>
    <x v="0"/>
  </r>
  <r>
    <s v="COGECOM"/>
    <n v="3095485235"/>
    <s v="COMERCIAL SALVI LTDA"/>
    <s v="OUT"/>
    <s v="OUTROS"/>
    <n v="39880089000163"/>
    <x v="0"/>
    <s v="3891.77"/>
    <s v="841.85"/>
    <n v="143"/>
    <s v="NÃO LOCALIZADO"/>
    <s v="TELEFONES SEM ATENDIMENTO"/>
    <n v="0"/>
    <x v="0"/>
    <s v="16.07"/>
    <s v="gleise"/>
    <s v="91 a 180"/>
    <s v="ACIONAMENTO"/>
    <x v="0"/>
  </r>
  <r>
    <s v="COGECOM"/>
    <n v="98214039"/>
    <s v="CRISTIANE REGINA BELLAFRONTE DE CASTRO"/>
    <s v="OUT"/>
    <s v="OUTROS"/>
    <n v="679821902"/>
    <x v="0"/>
    <s v="458.59"/>
    <s v="231.03"/>
    <n v="72"/>
    <s v="NÃO LOCALIZADO"/>
    <s v="TELEFONES SEM ATENDIMENTO"/>
    <n v="0"/>
    <x v="0"/>
    <s v="16.06"/>
    <s v="gleise"/>
    <s v="61 a 90"/>
    <s v="ACIONAMENTO"/>
    <x v="0"/>
  </r>
  <r>
    <s v="COGECOM"/>
    <n v="707880"/>
    <s v="DANIEL SOARES FILHO"/>
    <s v="OUT"/>
    <s v="OUTROS"/>
    <n v="98048511991"/>
    <x v="0"/>
    <s v="234.97"/>
    <s v="207.34"/>
    <n v="73"/>
    <s v="NÃO LOCALIZADO"/>
    <s v="TELEFONES SEM ATENDIMENTO"/>
    <n v="0"/>
    <x v="0"/>
    <s v="13.04"/>
    <s v="gleise"/>
    <s v="61 a 90"/>
    <s v="ACIONAMENTO"/>
    <x v="0"/>
  </r>
  <r>
    <s v="COGECOM"/>
    <n v="4002808613"/>
    <s v="DIEGO FLORENCIANEZ MELGAREJO"/>
    <s v="OUT"/>
    <s v="OUTROS"/>
    <n v="60088934098"/>
    <x v="0"/>
    <s v="433.68"/>
    <s v="121.13"/>
    <n v="76"/>
    <s v="NÃO LOCALIZADO"/>
    <s v="TELEFONES SEM ATENDIMENTO"/>
    <n v="0"/>
    <x v="0"/>
    <s v="16.07"/>
    <s v="gleise"/>
    <s v="61 a 90"/>
    <s v="ACIONAMENTO"/>
    <x v="0"/>
  </r>
  <r>
    <s v="COGECOM"/>
    <n v="53666817"/>
    <s v="ELIZANDRA JAQUELINE SARTORETTO HOFFMANN"/>
    <s v="OUT"/>
    <s v="OUTROS"/>
    <n v="5378492971"/>
    <x v="0"/>
    <s v="161.71"/>
    <s v="25.50"/>
    <n v="80"/>
    <m/>
    <s v="SOLICITAR EXTINÇÃO DA AÇÃO"/>
    <n v="9999"/>
    <x v="0"/>
    <s v="16.08"/>
    <s v="gleise"/>
    <s v="61 a 90"/>
    <s v="ACIONAMENTO"/>
    <x v="4"/>
  </r>
  <r>
    <s v="COGECOM"/>
    <n v="56740686"/>
    <s v="LE BLANC DRESSES LTDA - ME"/>
    <s v="OUT"/>
    <s v="OUTROS"/>
    <n v="24375142000100"/>
    <x v="0"/>
    <s v="31.01"/>
    <s v="25.92"/>
    <n v="80"/>
    <s v="NÃO LOCALIZADO"/>
    <s v="TELEFONES SEM ATENDIMENTO"/>
    <n v="0"/>
    <x v="0"/>
    <s v="10.34"/>
    <s v="gleise"/>
    <s v="61 a 90"/>
    <s v="ACIONAMENTO"/>
    <x v="0"/>
  </r>
  <r>
    <s v="COGECOM"/>
    <n v="21508917"/>
    <s v="ROBSON DOS SANTOS PEREIRA"/>
    <s v="OUT"/>
    <s v="OUTROS"/>
    <n v="36284030819"/>
    <x v="0"/>
    <s v="108.33"/>
    <s v="108.33"/>
    <n v="79"/>
    <s v="AG RESPOSTA 1º CONTATO"/>
    <s v="ENVIADO MSG/E-MAIL 1º CONTATO"/>
    <n v="0"/>
    <x v="0"/>
    <s v="9.38"/>
    <s v="l.quadros"/>
    <s v="61 a 90"/>
    <s v="ACIONAMENTO"/>
    <x v="4"/>
  </r>
  <r>
    <s v="COGECOM"/>
    <n v="94885770"/>
    <s v="SERGIO ROBERTO COTTA JUNIOR"/>
    <s v="OUT"/>
    <s v="OUTROS"/>
    <n v="4086836947"/>
    <x v="0"/>
    <s v="276.95"/>
    <s v="279.33"/>
    <n v="76"/>
    <s v="NÃO LOCALIZADO"/>
    <s v="TELEFONES SEM ATENDIMENTO"/>
    <n v="0"/>
    <x v="0"/>
    <s v="11.03"/>
    <s v="gleise"/>
    <s v="61 a 90"/>
    <s v="ACIONAMENTO"/>
    <x v="0"/>
  </r>
  <r>
    <s v="COGECOM"/>
    <n v="56103236"/>
    <s v="ADRIANO CEZAR DE LIMA"/>
    <s v="OUT"/>
    <s v="OUTROS"/>
    <n v="90177312904"/>
    <x v="0"/>
    <s v="0.00"/>
    <s v="56.25"/>
    <n v="69"/>
    <m/>
    <s v="ALTERACAO DEBITO"/>
    <n v="9999"/>
    <x v="0"/>
    <s v="12.26"/>
    <s v="elizabel"/>
    <s v="61 a 90"/>
    <s v="ACIONAMENTO"/>
    <x v="4"/>
  </r>
  <r>
    <s v="COGECOM"/>
    <n v="3083056513"/>
    <s v="COMERCIAL SÃO JOÃO DE UTILIDADES DOMÉSTICAS LTDA"/>
    <s v="OUT"/>
    <s v="OUTROS"/>
    <n v="5918619000101"/>
    <x v="0"/>
    <s v="0.00"/>
    <s v="3719.06"/>
    <n v="57"/>
    <s v="EM NEGOCIAÇÃO"/>
    <s v="ALTERACAO DEBITO"/>
    <n v="2"/>
    <x v="0"/>
    <s v="14.50"/>
    <s v="elizabel"/>
    <s v="31 a 60"/>
    <s v="ACIONAMENTO"/>
    <x v="2"/>
  </r>
  <r>
    <s v="COGECOM"/>
    <n v="9888420"/>
    <s v="ROBSON ALVES PAES"/>
    <s v="OUT"/>
    <s v="OUTROS"/>
    <n v="4025969947"/>
    <x v="0"/>
    <s v="4658.45"/>
    <s v="2610.91"/>
    <n v="133"/>
    <s v="NÃO LOCALIZADO"/>
    <s v="TELEFONES SEM ATENDIMENTO"/>
    <n v="0"/>
    <x v="0"/>
    <s v="13.29"/>
    <s v="gleise"/>
    <s v="91 a 180"/>
    <s v="ACIONAMENTO"/>
    <x v="0"/>
  </r>
  <r>
    <s v="COGECOM"/>
    <n v="63400529"/>
    <s v="MONICA BATISTA PERALTA"/>
    <s v="OUT"/>
    <s v="OUTROS"/>
    <n v="12459211856"/>
    <x v="0"/>
    <s v="630.42"/>
    <s v="478.67"/>
    <n v="209"/>
    <s v="SEM INTERESSE"/>
    <s v="NEGOCIAÇÃO VIA TELEFONE"/>
    <n v="0"/>
    <x v="1"/>
    <s v="10.53"/>
    <s v="gleise"/>
    <s v="181 a 360"/>
    <s v="CPC"/>
    <x v="1"/>
  </r>
  <r>
    <s v="COGECOM"/>
    <n v="19342174"/>
    <s v="CATARINA PAVANELLO GRABOVSKI"/>
    <s v="OUT"/>
    <s v="OUTROS"/>
    <n v="89076737991"/>
    <x v="0"/>
    <s v="2025.10"/>
    <s v="2025.10"/>
    <n v="1311"/>
    <s v="SEM INTERESSE"/>
    <s v="NEGOCIAÇÃO VIA TELEFONE"/>
    <n v="0"/>
    <x v="1"/>
    <s v="14.30"/>
    <s v="gleise"/>
    <s v="Acima de 361"/>
    <s v="CPC"/>
    <x v="1"/>
  </r>
  <r>
    <s v="COGECOM"/>
    <n v="31476852"/>
    <s v="ADRIANO LUIZ DA LUZ"/>
    <s v="OUT"/>
    <s v="OUTROS"/>
    <n v="77778510987"/>
    <x v="0"/>
    <s v="54.87"/>
    <s v="54.87"/>
    <n v="421"/>
    <s v="NÃO LOCALIZADO"/>
    <s v="TELEFONES SEM ATENDIMENTO"/>
    <n v="0"/>
    <x v="1"/>
    <s v="11.15"/>
    <s v="gleise"/>
    <s v="Acima de 361"/>
    <s v="ACIONAMENTO"/>
    <x v="0"/>
  </r>
  <r>
    <s v="COGECOM"/>
    <n v="3085559551"/>
    <s v="AILTON ROHSMANN"/>
    <s v="OUT"/>
    <s v="OUTROS"/>
    <n v="12866853000190"/>
    <x v="0"/>
    <s v="619.60"/>
    <s v="470.52"/>
    <n v="689"/>
    <s v="SEM INTERESSE"/>
    <s v="NEGOCIAÇÃO VIA TELEFONE"/>
    <n v="0"/>
    <x v="1"/>
    <s v="14.18"/>
    <s v="gleise"/>
    <s v="Acima de 361"/>
    <s v="CPC"/>
    <x v="1"/>
  </r>
  <r>
    <s v="COGECOM"/>
    <n v="88822389"/>
    <s v="ALCENIR TEIXEIRA E ADVOGADOS ASSOCIADOS"/>
    <s v="OUT"/>
    <s v="OUTROS"/>
    <n v="16629030000100"/>
    <x v="0"/>
    <s v="505.08"/>
    <s v="212.67"/>
    <n v="496"/>
    <s v="NÃO LOCALIZADO"/>
    <s v="TELEFONES SEM ATENDIMENTO"/>
    <n v="0"/>
    <x v="1"/>
    <s v="11.43"/>
    <s v="gleise"/>
    <s v="Acima de 361"/>
    <s v="ACIONAMENTO"/>
    <x v="0"/>
  </r>
  <r>
    <s v="COGECOM"/>
    <n v="90038096"/>
    <s v="ALEKES PRACHEDES SOVINSKI"/>
    <s v="OUT"/>
    <s v="OUTROS"/>
    <n v="73386936920"/>
    <x v="0"/>
    <s v="291.97"/>
    <s v="146.17"/>
    <n v="406"/>
    <s v="NÃO LOCALIZADO"/>
    <s v="TELEFONES SEM ATENDIMENTO"/>
    <n v="0"/>
    <x v="1"/>
    <s v="14.32"/>
    <s v="gleise"/>
    <s v="Acima de 361"/>
    <s v="ACIONAMENTO"/>
    <x v="0"/>
  </r>
  <r>
    <s v="COGECOM"/>
    <n v="3010791739"/>
    <s v="ALESSANDRO BATISTA PRATES"/>
    <s v="OUT"/>
    <s v="OUTROS"/>
    <n v="81370946600"/>
    <x v="0"/>
    <s v="1130.53"/>
    <s v="245.86"/>
    <n v="455"/>
    <s v="NÃO LOCALIZADO"/>
    <s v="TELEFONES SEM ATENDIMENTO"/>
    <n v="0"/>
    <x v="1"/>
    <s v="14.31"/>
    <s v="gleise"/>
    <s v="Acima de 361"/>
    <s v="ACIONAMENTO"/>
    <x v="0"/>
  </r>
  <r>
    <s v="COGECOM"/>
    <n v="10016664270"/>
    <s v="ALEX FERNANDES DE FREITAS"/>
    <s v="OUT"/>
    <s v="OUTROS"/>
    <n v="71332090125"/>
    <x v="0"/>
    <s v="401.66"/>
    <s v="46.15"/>
    <n v="198"/>
    <s v="NÃO LOCALIZADO"/>
    <s v="TELEFONES SEM ATENDIMENTO"/>
    <n v="0"/>
    <x v="1"/>
    <s v="14.32"/>
    <s v="gleise"/>
    <s v="181 a 360"/>
    <s v="ACIONAMENTO"/>
    <x v="0"/>
  </r>
  <r>
    <s v="COGECOM"/>
    <n v="3090922827"/>
    <s v="ALEXANDRE LEAO LONGONI"/>
    <s v="OUT"/>
    <s v="OUTROS"/>
    <n v="50359940072"/>
    <x v="0"/>
    <s v="523.85"/>
    <s v="217.69"/>
    <n v="484"/>
    <s v="NÃO LOCALIZADO"/>
    <s v="TELEFONES SEM ATENDIMENTO"/>
    <n v="0"/>
    <x v="1"/>
    <s v="14.31"/>
    <s v="gleise"/>
    <s v="Acima de 361"/>
    <s v="ACIONAMENTO"/>
    <x v="0"/>
  </r>
  <r>
    <s v="COGECOM"/>
    <n v="3012994014"/>
    <s v="ALEXANDRE LEONARDO ROSA"/>
    <s v="OUT"/>
    <s v="OUTROS"/>
    <n v="4799349678"/>
    <x v="0"/>
    <s v="532.37"/>
    <s v="169.68"/>
    <n v="449"/>
    <s v="NÃO LOCALIZADO"/>
    <s v="TELEFONES SEM ATENDIMENTO"/>
    <n v="0"/>
    <x v="1"/>
    <s v="11.06"/>
    <s v="gleise"/>
    <s v="Acima de 361"/>
    <s v="ACIONAMENTO"/>
    <x v="0"/>
  </r>
  <r>
    <s v="COGECOM"/>
    <n v="21379033"/>
    <s v="ALICIA DIAS POZA"/>
    <s v="OUT"/>
    <s v="OUTROS"/>
    <n v="46538160930"/>
    <x v="0"/>
    <s v="5996.98"/>
    <s v="659.21"/>
    <n v="495"/>
    <s v="NÃO LOCALIZADO"/>
    <s v="TELEFONES SEM ATENDIMENTO"/>
    <n v="0"/>
    <x v="1"/>
    <s v="14.34"/>
    <s v="gleise"/>
    <s v="Acima de 361"/>
    <s v="ACIONAMENTO"/>
    <x v="0"/>
  </r>
  <r>
    <s v="COGECOM"/>
    <n v="10035155203"/>
    <s v="ALLAN PEREIRA DE OLIVEIRA"/>
    <s v="OUT"/>
    <s v="OUTROS"/>
    <n v="7108146401"/>
    <x v="0"/>
    <s v="241.29"/>
    <s v="51.19"/>
    <n v="276"/>
    <s v="NÃO LOCALIZADO"/>
    <s v="TELEFONES SEM ATENDIMENTO"/>
    <n v="0"/>
    <x v="1"/>
    <s v="14.33"/>
    <s v="gleise"/>
    <s v="181 a 360"/>
    <s v="ACIONAMENTO"/>
    <x v="0"/>
  </r>
  <r>
    <s v="COGECOM"/>
    <n v="3005608547"/>
    <s v="AMANDA GOMES RODRIGUES"/>
    <s v="OUT"/>
    <s v="OUTROS"/>
    <n v="14023879622"/>
    <x v="0"/>
    <s v="390.91"/>
    <s v="101.81"/>
    <n v="376"/>
    <s v="NÃO LOCALIZADO"/>
    <s v="TELEFONES SEM ATENDIMENTO"/>
    <n v="0"/>
    <x v="1"/>
    <s v="10.35"/>
    <s v="gleise"/>
    <s v="Acima de 361"/>
    <s v="ACIONAMENTO"/>
    <x v="0"/>
  </r>
  <r>
    <s v="COGECOM"/>
    <n v="4002138965"/>
    <s v="ANA CAROLINE GARCIA DOS SANTOS"/>
    <s v="OUT"/>
    <s v="OUTROS"/>
    <n v="1018368051"/>
    <x v="0"/>
    <s v="1916.81"/>
    <s v="351.33"/>
    <n v="330"/>
    <s v="NÃO LOCALIZADO"/>
    <s v="TELEFONES SEM ATENDIMENTO"/>
    <n v="0"/>
    <x v="1"/>
    <s v="10.55"/>
    <s v="gleise"/>
    <s v="181 a 360"/>
    <s v="ACIONAMENTO"/>
    <x v="0"/>
  </r>
  <r>
    <s v="COGECOM"/>
    <n v="84433590"/>
    <s v="ANA HELENA GOMES ANDRADE"/>
    <s v="OUT"/>
    <s v="OUTROS"/>
    <n v="4317021951"/>
    <x v="0"/>
    <s v="1252.21"/>
    <s v="299.52"/>
    <n v="326"/>
    <s v="NÃO LOCALIZADO"/>
    <s v="TELEFONES SEM ATENDIMENTO"/>
    <n v="0"/>
    <x v="1"/>
    <s v="11.38"/>
    <s v="gleise"/>
    <s v="181 a 360"/>
    <s v="ACIONAMENTO"/>
    <x v="0"/>
  </r>
  <r>
    <s v="COGECOM"/>
    <n v="3091287230"/>
    <s v="ANA PAULA HOMEM WASEM"/>
    <s v="OUT"/>
    <s v="OUTROS"/>
    <n v="559325096"/>
    <x v="0"/>
    <s v="285.33"/>
    <s v="153.85"/>
    <n v="335"/>
    <s v="NÃO LOCALIZADO"/>
    <s v="TELEFONES SEM ATENDIMENTO"/>
    <n v="0"/>
    <x v="1"/>
    <s v="14.34"/>
    <s v="gleise"/>
    <s v="181 a 360"/>
    <s v="ACIONAMENTO"/>
    <x v="0"/>
  </r>
  <r>
    <s v="COGECOM"/>
    <n v="55421650"/>
    <s v="ANDERSON DE AZEVEDO"/>
    <s v="OUT"/>
    <s v="OUTROS"/>
    <n v="3215256983"/>
    <x v="0"/>
    <s v="621.78"/>
    <s v="243.23"/>
    <n v="316"/>
    <s v="NÃO LOCALIZADO"/>
    <s v="TELEFONES SEM ATENDIMENTO"/>
    <n v="0"/>
    <x v="1"/>
    <s v="11.41"/>
    <s v="gleise"/>
    <s v="181 a 360"/>
    <s v="ACIONAMENTO"/>
    <x v="0"/>
  </r>
  <r>
    <s v="COGECOM"/>
    <n v="3095436368"/>
    <s v="ANDRE LUIS FREIRE BARBOSA"/>
    <s v="OUT"/>
    <s v="OUTROS"/>
    <n v="46525947049"/>
    <x v="0"/>
    <s v="1072.92"/>
    <s v="491.86"/>
    <n v="339"/>
    <s v="SEM INTERESSE"/>
    <s v="NEGOCIAÇÃO VIA TELEFONE"/>
    <n v="0"/>
    <x v="1"/>
    <s v="14.39"/>
    <s v="gleise"/>
    <s v="181 a 360"/>
    <s v="CPC"/>
    <x v="1"/>
  </r>
  <r>
    <s v="COGECOM"/>
    <n v="98004425"/>
    <s v="ANDREISE GISELA DA SILVA"/>
    <s v="OUT"/>
    <s v="OUTROS"/>
    <n v="2583080954"/>
    <x v="0"/>
    <s v="757.59"/>
    <s v="166.90"/>
    <n v="314"/>
    <s v="NÃO LOCALIZADO"/>
    <s v="TELEFONES SEM ATENDIMENTO"/>
    <n v="0"/>
    <x v="1"/>
    <s v="14.35"/>
    <s v="gleise"/>
    <s v="181 a 360"/>
    <s v="ACIONAMENTO"/>
    <x v="0"/>
  </r>
  <r>
    <s v="COGECOM"/>
    <n v="3091123071"/>
    <s v="ANGEL GABRIEL CASARABILLA MARTINEZ"/>
    <s v="OUT"/>
    <s v="OUTROS"/>
    <n v="8380593170"/>
    <x v="0"/>
    <s v="1049.23"/>
    <s v="748.09"/>
    <n v="329"/>
    <s v="NÃO LOCALIZADO"/>
    <s v="TELEFONES SEM ATENDIMENTO"/>
    <n v="0"/>
    <x v="1"/>
    <s v="10.51"/>
    <s v="gleise"/>
    <s v="181 a 360"/>
    <s v="ACIONAMENTO"/>
    <x v="0"/>
  </r>
  <r>
    <s v="COGECOM"/>
    <n v="28877985"/>
    <s v="ATHAIDE PAULA DOS SANTOS"/>
    <s v="OUT"/>
    <s v="OUTROS"/>
    <n v="1027336949"/>
    <x v="0"/>
    <s v="178.74"/>
    <s v="178.74"/>
    <n v="597"/>
    <s v="FALECIDO"/>
    <s v="FALECIDO"/>
    <n v="0"/>
    <x v="1"/>
    <s v="11.47"/>
    <s v="gleise"/>
    <s v="Acima de 361"/>
    <s v="ACIONAMENTO"/>
    <x v="5"/>
  </r>
  <r>
    <s v="COGECOM"/>
    <n v="3090747803"/>
    <s v="BALBINO MACHADO"/>
    <s v="OUT"/>
    <s v="OUTROS"/>
    <n v="7193823000"/>
    <x v="0"/>
    <s v="1588.20"/>
    <s v="141.20"/>
    <n v="213"/>
    <s v="NÃO LOCALIZADO"/>
    <s v="SOLICITAR EXTINÇÃO DA AÇÃO"/>
    <n v="9"/>
    <x v="1"/>
    <s v="14.38"/>
    <s v="l.quadros"/>
    <s v="181 a 360"/>
    <s v="ACIONAMENTO"/>
    <x v="0"/>
  </r>
  <r>
    <s v="COGECOM"/>
    <n v="3082142682"/>
    <s v="BEATRIZ COSTA SZPANIC"/>
    <s v="OUT"/>
    <s v="OUTROS"/>
    <n v="308047010"/>
    <x v="0"/>
    <s v="112.42"/>
    <s v="103.73"/>
    <n v="210"/>
    <s v="NÃO LOCALIZADO"/>
    <s v="TELEFONES SEM ATENDIMENTO"/>
    <n v="0"/>
    <x v="1"/>
    <s v="11.11"/>
    <s v="gleise"/>
    <s v="181 a 360"/>
    <s v="ACIONAMENTO"/>
    <x v="0"/>
  </r>
  <r>
    <s v="COGECOM"/>
    <n v="3095071364"/>
    <s v="CAROLINE TIGRE DA SILVA"/>
    <s v="OUT"/>
    <s v="OUTROS"/>
    <n v="2865782042"/>
    <x v="0"/>
    <s v="310.15"/>
    <s v="205.72"/>
    <n v="477"/>
    <s v="NÃO LOCALIZADO"/>
    <s v="TELEFONES SEM ATENDIMENTO"/>
    <n v="0"/>
    <x v="1"/>
    <s v="14.39"/>
    <s v="gleise"/>
    <s v="Acima de 361"/>
    <s v="ACIONAMENTO"/>
    <x v="0"/>
  </r>
  <r>
    <s v="COGECOM"/>
    <n v="29074232"/>
    <s v="CELIO JOSE DE OLIVEIRA"/>
    <s v="OUT"/>
    <s v="OUTROS"/>
    <n v="48523836934"/>
    <x v="0"/>
    <s v="1088.99"/>
    <s v="410.26"/>
    <n v="268"/>
    <s v="NÃO LOCALIZADO"/>
    <s v="TELEFONES SEM ATENDIMENTO"/>
    <n v="0"/>
    <x v="1"/>
    <s v="11.33"/>
    <s v="gleise"/>
    <s v="181 a 360"/>
    <s v="ACIONAMENTO"/>
    <x v="0"/>
  </r>
  <r>
    <s v="COGECOM"/>
    <n v="88714063"/>
    <s v="CENTRO EDUCACIONAL POLO TERRA ROXA EIRELI"/>
    <s v="OUT"/>
    <s v="OUTROS"/>
    <n v="28161176000225"/>
    <x v="0"/>
    <s v="235.52"/>
    <s v="235.52"/>
    <n v="199"/>
    <s v="NÃO LOCALIZADO"/>
    <s v="TELEFONES SEM ATENDIMENTO"/>
    <n v="0"/>
    <x v="1"/>
    <s v="14.40"/>
    <s v="gleise"/>
    <s v="181 a 360"/>
    <s v="ACIONAMENTO"/>
    <x v="0"/>
  </r>
  <r>
    <s v="COGECOM"/>
    <n v="10024772222"/>
    <s v="CHEILA DA SILVA ALBUQUERQUE DE OLIVEIRA"/>
    <s v="OUT"/>
    <s v="OUTROS"/>
    <n v="64595331215"/>
    <x v="0"/>
    <s v="1010.76"/>
    <s v="144.26"/>
    <n v="203"/>
    <s v="AG RESPOSTA 1º CONTATO"/>
    <s v="ENVIADO MSG/E-MAIL 1º CONTATO"/>
    <n v="0"/>
    <x v="1"/>
    <s v="10.47"/>
    <s v="l.quadros"/>
    <s v="181 a 360"/>
    <s v="ACIONAMENTO"/>
    <x v="4"/>
  </r>
  <r>
    <s v="COGECOM"/>
    <n v="3085013522"/>
    <s v="CINTIA ALVES"/>
    <s v="OUT"/>
    <s v="OUTROS"/>
    <n v="96605111087"/>
    <x v="0"/>
    <s v="172.78"/>
    <s v="172.78"/>
    <n v="307"/>
    <s v="NÃO LOCALIZADO"/>
    <s v="TELEFONES SEM ATENDIMENTO"/>
    <n v="0"/>
    <x v="1"/>
    <s v="14.41"/>
    <s v="gleise"/>
    <s v="181 a 360"/>
    <s v="ACIONAMENTO"/>
    <x v="0"/>
  </r>
  <r>
    <s v="COGECOM"/>
    <n v="3003641179"/>
    <s v="CLEVER NASCIMENTO DE OLIVEIRA"/>
    <s v="OUT"/>
    <s v="OUTROS"/>
    <n v="7629939604"/>
    <x v="0"/>
    <s v="250.80"/>
    <s v="107.77"/>
    <n v="227"/>
    <s v="NÃO LOCALIZADO"/>
    <s v="TELEFONES SEM ATENDIMENTO"/>
    <n v="0"/>
    <x v="1"/>
    <s v="14.41"/>
    <s v="gleise"/>
    <s v="181 a 360"/>
    <s v="ACIONAMENTO"/>
    <x v="0"/>
  </r>
  <r>
    <s v="COGECOM"/>
    <n v="3085547548"/>
    <s v="CRISTIANE EWALD"/>
    <s v="OUT"/>
    <s v="OUTROS"/>
    <n v="373240040"/>
    <x v="0"/>
    <s v="157.46"/>
    <s v="135.17"/>
    <n v="193"/>
    <s v="SEM INTERESSE"/>
    <s v="NEGOCIAÇÃO VIA WHATSAPP"/>
    <n v="0"/>
    <x v="1"/>
    <s v="15.10"/>
    <s v="l.quadros"/>
    <s v="181 a 360"/>
    <s v="CPC"/>
    <x v="1"/>
  </r>
  <r>
    <s v="COGECOM"/>
    <n v="3085529788"/>
    <s v="CRISTIANE FUNGHETTO FUZINATTO"/>
    <s v="OUT"/>
    <s v="OUTROS"/>
    <n v="98102630078"/>
    <x v="0"/>
    <s v="503.98"/>
    <s v="178.00"/>
    <n v="335"/>
    <s v="NÃO LOCALIZADO"/>
    <s v="TELEFONES SEM ATENDIMENTO"/>
    <n v="0"/>
    <x v="1"/>
    <s v="14.43"/>
    <s v="gleise"/>
    <s v="181 a 360"/>
    <s v="ACIONAMENTO"/>
    <x v="0"/>
  </r>
  <r>
    <s v="COGECOM"/>
    <n v="120231141"/>
    <s v="CRISTIANE RODRIGUES CUNHA DO VALE"/>
    <s v="OUT"/>
    <s v="OUTROS"/>
    <n v="84649470110"/>
    <x v="0"/>
    <s v="389.98"/>
    <s v="134.19"/>
    <n v="207"/>
    <s v="AG RESPOSTA 1º CONTATO"/>
    <s v="ENVIADO MSG/E-MAIL 1º CONTATO"/>
    <n v="0"/>
    <x v="1"/>
    <s v="10.49"/>
    <s v="l.quadros"/>
    <s v="181 a 360"/>
    <s v="ACIONAMENTO"/>
    <x v="4"/>
  </r>
  <r>
    <s v="COGECOM"/>
    <n v="3095630131"/>
    <s v="CRISTIANO ALTAIR DE VARGAS"/>
    <s v="OUT"/>
    <s v="OUTROS"/>
    <n v="93892624020"/>
    <x v="0"/>
    <s v="380.22"/>
    <s v="192.43"/>
    <n v="562"/>
    <s v="NÃO LOCALIZADO"/>
    <s v="TELEFONES SEM ATENDIMENTO"/>
    <n v="0"/>
    <x v="1"/>
    <s v="14.44"/>
    <s v="gleise"/>
    <s v="Acima de 361"/>
    <s v="ACIONAMENTO"/>
    <x v="0"/>
  </r>
  <r>
    <s v="COGECOM"/>
    <n v="10027731748"/>
    <s v="CRISTIANO ALVES SANTANA"/>
    <s v="OUT"/>
    <s v="OUTROS"/>
    <n v="77577485187"/>
    <x v="0"/>
    <s v="517.74"/>
    <s v="73.29"/>
    <n v="226"/>
    <s v="NÃO LOCALIZADO"/>
    <s v="TELEFONES SEM ATENDIMENTO"/>
    <n v="0"/>
    <x v="1"/>
    <s v="14.43"/>
    <s v="gleise"/>
    <s v="181 a 360"/>
    <s v="ACIONAMENTO"/>
    <x v="0"/>
  </r>
  <r>
    <s v="COGECOM"/>
    <n v="3011647114"/>
    <s v="DANIEL BRITO CARNEIRO"/>
    <s v="OUT"/>
    <s v="OUTROS"/>
    <n v="9572484664"/>
    <x v="0"/>
    <s v="237.75"/>
    <s v="97.78"/>
    <n v="196"/>
    <s v="NÃO LOCALIZADO"/>
    <s v="TELEFONES SEM ATENDIMENTO"/>
    <n v="0"/>
    <x v="1"/>
    <s v="11.49"/>
    <s v="gleise"/>
    <s v="181 a 360"/>
    <s v="ACIONAMENTO"/>
    <x v="0"/>
  </r>
  <r>
    <s v="COGECOM"/>
    <n v="40102166"/>
    <s v="DANIEL DE AZEVEDO MONTEIRO"/>
    <s v="OUT"/>
    <s v="OUTROS"/>
    <n v="84329351153"/>
    <x v="0"/>
    <s v="186.38"/>
    <s v="30.27"/>
    <n v="226"/>
    <s v="NÃO LOCALIZADO"/>
    <s v="TELEFONES SEM ATENDIMENTO"/>
    <n v="0"/>
    <x v="1"/>
    <s v="11.44"/>
    <s v="gleise"/>
    <s v="181 a 360"/>
    <s v="ACIONAMENTO"/>
    <x v="0"/>
  </r>
  <r>
    <s v="COGECOM"/>
    <n v="49212348"/>
    <s v="DANIELA SOBRAL SILVA FERMINO"/>
    <s v="OUT"/>
    <s v="OUTROS"/>
    <n v="41794963804"/>
    <x v="0"/>
    <s v="1769.49"/>
    <s v="148.80"/>
    <n v="721"/>
    <s v="NÃO LOCALIZADO"/>
    <s v="TELEFONES SEM ATENDIMENTO"/>
    <n v="0"/>
    <x v="1"/>
    <s v="11.53"/>
    <s v="gleise"/>
    <s v="Acima de 361"/>
    <s v="ACIONAMENTO"/>
    <x v="0"/>
  </r>
  <r>
    <s v="COGECOM"/>
    <n v="3004515170"/>
    <s v="DANILO EXELRUD"/>
    <s v="OUT"/>
    <s v="OUTROS"/>
    <n v="58407979600"/>
    <x v="0"/>
    <s v="908.61"/>
    <s v="114.47"/>
    <n v="449"/>
    <s v="AG RESPOSTA 1º CONTATO"/>
    <s v="ENVIADO MSG/E-MAIL 1º CONTATO"/>
    <n v="0"/>
    <x v="1"/>
    <s v="16.55"/>
    <s v="l.quadros"/>
    <s v="Acima de 361"/>
    <s v="ACIONAMENTO"/>
    <x v="4"/>
  </r>
  <r>
    <s v="COGECOM"/>
    <n v="3014486740"/>
    <s v="DAVI MATOS FERRAZ"/>
    <s v="OUT"/>
    <s v="OUTROS"/>
    <n v="13442722667"/>
    <x v="0"/>
    <s v="544.24"/>
    <s v="109.04"/>
    <n v="339"/>
    <s v="NÃO LOCALIZADO"/>
    <s v="TELEFONES SEM ATENDIMENTO"/>
    <n v="0"/>
    <x v="1"/>
    <s v="14.45"/>
    <s v="gleise"/>
    <s v="181 a 360"/>
    <s v="ACIONAMENTO"/>
    <x v="0"/>
  </r>
  <r>
    <s v="COGECOM"/>
    <n v="109059484"/>
    <s v="DAVID CARVALHO DE SIQUEIRA"/>
    <s v="OUT"/>
    <s v="OUTROS"/>
    <n v="968878938"/>
    <x v="0"/>
    <s v="1207.68"/>
    <s v="204.23"/>
    <n v="529"/>
    <s v="NÃO LOCALIZADO"/>
    <s v="TELEFONES SEM ATENDIMENTO"/>
    <n v="0"/>
    <x v="1"/>
    <s v="14.46"/>
    <s v="gleise"/>
    <s v="Acima de 361"/>
    <s v="ACIONAMENTO"/>
    <x v="0"/>
  </r>
  <r>
    <s v="COGECOM"/>
    <n v="21248655"/>
    <s v="DAYVISON COSTA DE LOIOLA"/>
    <s v="OUT"/>
    <s v="OUTROS"/>
    <n v="660822180"/>
    <x v="0"/>
    <s v="306.03"/>
    <s v="46.15"/>
    <n v="208"/>
    <s v="SEM INTERESSE"/>
    <s v="NEGOCIAÇÃO VIA TELEFONE"/>
    <n v="0"/>
    <x v="1"/>
    <s v="9.41"/>
    <s v="gleise"/>
    <s v="181 a 360"/>
    <s v="CPC"/>
    <x v="1"/>
  </r>
  <r>
    <s v="COGECOM"/>
    <n v="1390012910"/>
    <s v="DENISE MAYARA FREITAS DE OLIVEIRA FEITOSA"/>
    <s v="OUT"/>
    <s v="OUTROS"/>
    <n v="84273666120"/>
    <x v="0"/>
    <s v="438.83"/>
    <s v="48.86"/>
    <n v="255"/>
    <s v="NÃO LOCALIZADO"/>
    <s v="TELEFONES SEM ATENDIMENTO"/>
    <n v="0"/>
    <x v="1"/>
    <s v="10.45"/>
    <s v="gleise"/>
    <s v="181 a 360"/>
    <s v="ACIONAMENTO"/>
    <x v="0"/>
  </r>
  <r>
    <s v="COGECOM"/>
    <n v="3081938065"/>
    <s v="DILSON RENATO FERREIRA GONCALVES"/>
    <s v="OUT"/>
    <s v="OUTROS"/>
    <n v="66207088034"/>
    <x v="0"/>
    <s v="206.70"/>
    <s v="178.01"/>
    <n v="399"/>
    <s v="SEM INTERESSE"/>
    <s v="NEGOCIAÇÃO VIA TELEFONE"/>
    <n v="0"/>
    <x v="1"/>
    <s v="14.50"/>
    <s v="gleise"/>
    <s v="Acima de 361"/>
    <s v="CPC"/>
    <x v="1"/>
  </r>
  <r>
    <s v="COGECOM"/>
    <n v="24196534"/>
    <s v="DIRLEI DA SILVA"/>
    <s v="OUT"/>
    <s v="OUTROS"/>
    <n v="1927220939"/>
    <x v="0"/>
    <s v="484.00"/>
    <s v="161.56"/>
    <n v="546"/>
    <s v="NÃO LOCALIZADO"/>
    <s v="TELEFONES SEM ATENDIMENTO"/>
    <n v="0"/>
    <x v="1"/>
    <s v="14.47"/>
    <s v="gleise"/>
    <s v="Acima de 361"/>
    <s v="ACIONAMENTO"/>
    <x v="0"/>
  </r>
  <r>
    <s v="COGECOM"/>
    <n v="1550028173"/>
    <s v="EDICENIA FERREIRA SILVA"/>
    <s v="OUT"/>
    <s v="OUTROS"/>
    <n v="4969371113"/>
    <x v="0"/>
    <s v="523.84"/>
    <s v="21.63"/>
    <n v="225"/>
    <s v="SEM INTERESSE"/>
    <s v="NEGOCIAÇÃO VIA TELEFONE"/>
    <n v="0"/>
    <x v="1"/>
    <s v="10.48"/>
    <s v="gleise"/>
    <s v="181 a 360"/>
    <s v="CPC"/>
    <x v="1"/>
  </r>
  <r>
    <s v="COGECOM"/>
    <n v="3080601158"/>
    <s v="FABIANA DA SILVA CORREA"/>
    <s v="OUT"/>
    <s v="OUTROS"/>
    <n v="55414834091"/>
    <x v="0"/>
    <s v="2030.80"/>
    <s v="246.94"/>
    <n v="279"/>
    <s v="SEM CONDIÇÕES"/>
    <s v="NEGOCIAÇÃO VIA TELEFONE"/>
    <n v="0"/>
    <x v="1"/>
    <s v="10.19"/>
    <s v="gleise"/>
    <s v="181 a 360"/>
    <s v="CPC"/>
    <x v="3"/>
  </r>
  <r>
    <s v="COGECOM"/>
    <n v="4003450847"/>
    <s v="FABIO ANDRE EMMEL"/>
    <s v="OUT"/>
    <s v="OUTROS"/>
    <n v="95852522015"/>
    <x v="0"/>
    <s v="506.86"/>
    <s v="748.09"/>
    <n v="369"/>
    <s v="NÃO LOCALIZADO"/>
    <s v="TELEFONES SEM ATENDIMENTO"/>
    <n v="0"/>
    <x v="1"/>
    <s v="14.26"/>
    <s v="gleise"/>
    <s v="Acima de 361"/>
    <s v="ACIONAMENTO"/>
    <x v="0"/>
  </r>
  <r>
    <s v="COGECOM"/>
    <n v="27395449"/>
    <s v="FLAVIA DOS SANTOS CUNHA"/>
    <s v="OUT"/>
    <s v="OUTROS"/>
    <n v="3803233976"/>
    <x v="0"/>
    <s v="587.73"/>
    <s v="152.29"/>
    <n v="449"/>
    <s v="SEM INTERESSE"/>
    <s v="NEGOCIAÇÃO VIA TELEFONE"/>
    <n v="0"/>
    <x v="1"/>
    <s v="10.24"/>
    <s v="gleise"/>
    <s v="Acima de 361"/>
    <s v="CPC"/>
    <x v="1"/>
  </r>
  <r>
    <s v="COGECOM"/>
    <n v="10023563298"/>
    <s v="FRANCISCO TELES DA SILVA"/>
    <s v="OUT"/>
    <s v="OUTROS"/>
    <n v="1852738154"/>
    <x v="0"/>
    <s v="105.08"/>
    <s v="14.42"/>
    <n v="196"/>
    <s v="NÃO LOCALIZADO"/>
    <s v="TELEFONES SEM ATENDIMENTO"/>
    <n v="0"/>
    <x v="1"/>
    <s v="11.12"/>
    <s v="gleise"/>
    <s v="181 a 360"/>
    <s v="ACIONAMENTO"/>
    <x v="0"/>
  </r>
  <r>
    <s v="COGECOM"/>
    <n v="97121860"/>
    <s v="GABRIEL VINICIUS VIMIEIRO SILVA"/>
    <s v="OUT"/>
    <s v="OUTROS"/>
    <n v="10531928608"/>
    <x v="0"/>
    <s v="96.51"/>
    <s v="96.51"/>
    <n v="575"/>
    <s v="AG RESPOSTA 1º CONTATO"/>
    <s v="ENVIADO MSG/E-MAIL 1º CONTATO"/>
    <n v="0"/>
    <x v="1"/>
    <s v="17.23"/>
    <s v="l.quadros"/>
    <s v="Acima de 361"/>
    <s v="ACIONAMENTO"/>
    <x v="4"/>
  </r>
  <r>
    <s v="COGECOM"/>
    <n v="27357644"/>
    <s v="GILBERTO SILVEIRA JUNIOR"/>
    <s v="OUT"/>
    <s v="OUTROS"/>
    <n v="2844235999"/>
    <x v="0"/>
    <s v="671.95"/>
    <s v="243.81"/>
    <n v="386"/>
    <s v="NÃO LOCALIZADO"/>
    <s v="TELEFONES SEM ATENDIMENTO"/>
    <n v="0"/>
    <x v="1"/>
    <s v="10.59"/>
    <s v="gleise"/>
    <s v="Acima de 361"/>
    <s v="ACIONAMENTO"/>
    <x v="0"/>
  </r>
  <r>
    <s v="COGECOM"/>
    <n v="4002401613"/>
    <s v="GUSTAVO CARAVER"/>
    <s v="OUT"/>
    <s v="OUTROS"/>
    <n v="689179022"/>
    <x v="0"/>
    <s v="238.60"/>
    <s v="223.52"/>
    <n v="226"/>
    <s v="NÃO LOCALIZADO"/>
    <s v="TELEFONES SEM ATENDIMENTO"/>
    <n v="0"/>
    <x v="1"/>
    <s v="12.59"/>
    <s v="gleise"/>
    <s v="181 a 360"/>
    <s v="ACIONAMENTO"/>
    <x v="0"/>
  </r>
  <r>
    <s v="COGECOM"/>
    <n v="3007360701"/>
    <s v="HUMBERTO FERREIRA RODRIGUES"/>
    <s v="OUT"/>
    <s v="OUTROS"/>
    <n v="75505894615"/>
    <x v="0"/>
    <s v="1145.89"/>
    <s v="275.94"/>
    <n v="427"/>
    <s v="NÃO LOCALIZADO"/>
    <s v="TELEFONES SEM ATENDIMENTO"/>
    <n v="0"/>
    <x v="1"/>
    <s v="9.40"/>
    <s v="gleise"/>
    <s v="Acima de 361"/>
    <s v="ACIONAMENTO"/>
    <x v="0"/>
  </r>
  <r>
    <s v="COGECOM"/>
    <n v="3011740814"/>
    <s v="INEZ DE FREITAS TEODORO"/>
    <s v="OUT"/>
    <s v="OUTROS"/>
    <n v="10711524670"/>
    <x v="0"/>
    <s v="679.97"/>
    <s v="346.11"/>
    <n v="315"/>
    <s v="SEM INTERESSE"/>
    <s v="NEGOCIAÇÃO VIA WHATSAPP"/>
    <n v="0"/>
    <x v="1"/>
    <s v="9.00"/>
    <s v="l.quadros"/>
    <s v="181 a 360"/>
    <s v="CPC"/>
    <x v="1"/>
  </r>
  <r>
    <s v="COGECOM"/>
    <n v="10033827344"/>
    <s v="INGRID LOPES PAIVA"/>
    <s v="OUT"/>
    <s v="OUTROS"/>
    <n v="3503406174"/>
    <x v="0"/>
    <s v="590.31"/>
    <s v="67.87"/>
    <n v="345"/>
    <s v="AG RESPOSTA 1º CONTATO"/>
    <s v="ENVIADO MSG/E-MAIL 1º CONTATO"/>
    <n v="0"/>
    <x v="1"/>
    <s v="17.31"/>
    <s v="l.quadros"/>
    <s v="181 a 360"/>
    <s v="ACIONAMENTO"/>
    <x v="4"/>
  </r>
  <r>
    <s v="COGECOM"/>
    <n v="22946153"/>
    <s v="JAILSON GRIMM"/>
    <s v="OUT"/>
    <s v="OUTROS"/>
    <n v="79243371991"/>
    <x v="0"/>
    <s v="936.51"/>
    <s v="300.90"/>
    <n v="386"/>
    <s v="NÃO LOCALIZADO"/>
    <s v="TELEFONES SEM ATENDIMENTO"/>
    <n v="0"/>
    <x v="1"/>
    <s v="11.30"/>
    <s v="gleise"/>
    <s v="Acima de 361"/>
    <s v="ACIONAMENTO"/>
    <x v="0"/>
  </r>
  <r>
    <s v="COGECOM"/>
    <n v="107526271"/>
    <s v="JEAN PABLO CZLUSNIAK"/>
    <s v="OUT"/>
    <s v="OUTROS"/>
    <n v="8138276983"/>
    <x v="0"/>
    <s v="822.93"/>
    <s v="88.04"/>
    <n v="356"/>
    <s v="AG RESPOSTA 1º CONTATO"/>
    <s v="ENVIADO MSG/E-MAIL 1º CONTATO"/>
    <n v="0"/>
    <x v="1"/>
    <s v="10.21"/>
    <s v="l.quadros"/>
    <s v="181 a 360"/>
    <s v="ACIONAMENTO"/>
    <x v="4"/>
  </r>
  <r>
    <s v="COGECOM"/>
    <n v="3083337731"/>
    <s v="JOAO PEDRO QUADROS MEDEIROS"/>
    <s v="OUT"/>
    <s v="OUTROS"/>
    <n v="1755067011"/>
    <x v="0"/>
    <s v="874.20"/>
    <s v="598.48"/>
    <n v="275"/>
    <s v="NÃO LOCALIZADO"/>
    <s v="TELEFONES SEM ATENDIMENTO"/>
    <n v="0"/>
    <x v="1"/>
    <s v="9.54"/>
    <s v="gleise"/>
    <s v="181 a 360"/>
    <s v="ACIONAMENTO"/>
    <x v="0"/>
  </r>
  <r>
    <s v="COGECOM"/>
    <n v="3005829141"/>
    <s v="JORGE LUIZ BONIFACIO DA SILVA"/>
    <s v="OUT"/>
    <s v="OUTROS"/>
    <n v="82973318653"/>
    <x v="0"/>
    <s v="1334.14"/>
    <s v="829.92"/>
    <n v="447"/>
    <s v="SEM INTERESSE"/>
    <s v="NEGOCIAÇÃO VIA TELEFONE"/>
    <n v="0"/>
    <x v="1"/>
    <s v="11.28"/>
    <s v="gleise"/>
    <s v="Acima de 361"/>
    <s v="CPC"/>
    <x v="1"/>
  </r>
  <r>
    <s v="COGECOM"/>
    <n v="47877903"/>
    <s v="KATIELE CRISTINA COSTA ARRIOLA"/>
    <s v="OUT"/>
    <s v="OUTROS"/>
    <n v="8735970952"/>
    <x v="0"/>
    <s v="326.99"/>
    <s v="94.67"/>
    <n v="227"/>
    <s v="SEM INTERESSE"/>
    <s v="NEGOCIAÇÃO VIA WHATSAPP"/>
    <n v="0"/>
    <x v="1"/>
    <s v="16.28"/>
    <s v="l.quadros"/>
    <s v="181 a 360"/>
    <s v="CPC"/>
    <x v="1"/>
  </r>
  <r>
    <s v="COGECOM"/>
    <n v="3085302169"/>
    <s v="KAUE MATEUS DOS SANTOS MARIA"/>
    <s v="OUT"/>
    <s v="OUTROS"/>
    <n v="4998458035"/>
    <x v="0"/>
    <s v="924.57"/>
    <s v="240.91"/>
    <n v="399"/>
    <s v="NÃO LOCALIZADO"/>
    <s v="TELEFONES SEM ATENDIMENTO"/>
    <n v="0"/>
    <x v="1"/>
    <s v="11.42"/>
    <s v="gleise"/>
    <s v="Acima de 361"/>
    <s v="ACIONAMENTO"/>
    <x v="0"/>
  </r>
  <r>
    <s v="COGECOM"/>
    <n v="106554131"/>
    <s v="LEANDRO EMANOEL MENDES BRANDAO"/>
    <s v="OUT"/>
    <s v="OUTROS"/>
    <n v="3276868989"/>
    <x v="0"/>
    <s v="1041.14"/>
    <s v="136.10"/>
    <n v="484"/>
    <s v="NÃO LOCALIZADO"/>
    <s v="TELEFONES SEM ATENDIMENTO"/>
    <n v="0"/>
    <x v="1"/>
    <s v="15.08"/>
    <s v="gleise"/>
    <s v="Acima de 361"/>
    <s v="ACIONAMENTO"/>
    <x v="0"/>
  </r>
  <r>
    <s v="COGECOM"/>
    <n v="10020426265"/>
    <s v="LETICIA SOARES NUNES DA SILVA"/>
    <s v="OUT"/>
    <s v="OUTROS"/>
    <n v="2903782148"/>
    <x v="0"/>
    <s v="2364.64"/>
    <s v="222.26"/>
    <n v="337"/>
    <s v="NÃO LOCALIZADO"/>
    <s v="TELEFONES SEM ATENDIMENTO"/>
    <n v="0"/>
    <x v="1"/>
    <s v="10.20"/>
    <s v="gleise"/>
    <s v="181 a 360"/>
    <s v="ACIONAMENTO"/>
    <x v="0"/>
  </r>
  <r>
    <s v="COGECOM"/>
    <n v="34710949"/>
    <s v="LEYLIANE PRISCILA DA SILVA"/>
    <s v="OUT"/>
    <s v="OUTROS"/>
    <n v="8866529958"/>
    <x v="0"/>
    <s v="405.68"/>
    <s v="292.28"/>
    <n v="259"/>
    <s v="NÃO LOCALIZADO"/>
    <s v="TELEFONES SEM ATENDIMENTO"/>
    <n v="0"/>
    <x v="1"/>
    <s v="15.07"/>
    <s v="gleise"/>
    <s v="181 a 360"/>
    <s v="ACIONAMENTO"/>
    <x v="0"/>
  </r>
  <r>
    <s v="COGECOM"/>
    <n v="104638737"/>
    <s v="LINCOLN EDUARDO NUNES"/>
    <s v="OUT"/>
    <s v="OUTROS"/>
    <n v="5448744982"/>
    <x v="0"/>
    <s v="243.68"/>
    <s v="243.68"/>
    <n v="679"/>
    <s v="NÃO LOCALIZADO"/>
    <s v="TELEFONES SEM ATENDIMENTO"/>
    <n v="0"/>
    <x v="1"/>
    <s v="15.08"/>
    <s v="gleise"/>
    <s v="Acima de 361"/>
    <s v="ACIONAMENTO"/>
    <x v="0"/>
  </r>
  <r>
    <s v="COGECOM"/>
    <n v="3013929579"/>
    <s v="LORRANA ROBERTA PIMENTEL DO AMPARO"/>
    <s v="OUT"/>
    <s v="OUTROS"/>
    <n v="10926611666"/>
    <x v="0"/>
    <s v="202.62"/>
    <s v="105.19"/>
    <n v="429"/>
    <s v="AG RESPOSTA 1º CONTATO"/>
    <s v="ENVIADO MSG/E-MAIL 1º CONTATO"/>
    <n v="0"/>
    <x v="1"/>
    <s v="10.08"/>
    <s v="l.quadros"/>
    <s v="Acima de 361"/>
    <s v="ACIONAMENTO"/>
    <x v="4"/>
  </r>
  <r>
    <s v="COGECOM"/>
    <n v="200084471"/>
    <s v="LUCIANO ALVES REIS"/>
    <s v="OUT"/>
    <s v="OUTROS"/>
    <n v="98045652187"/>
    <x v="0"/>
    <s v="997.30"/>
    <s v="149.76"/>
    <n v="224"/>
    <s v="NÃO LOCALIZADO"/>
    <s v="TELEFONES SEM ATENDIMENTO"/>
    <n v="0"/>
    <x v="1"/>
    <s v="15.09"/>
    <s v="gleise"/>
    <s v="181 a 360"/>
    <s v="ACIONAMENTO"/>
    <x v="0"/>
  </r>
  <r>
    <s v="COGECOM"/>
    <n v="92484093"/>
    <s v="LUIS GUSTAVO BAGGIO BOSCHETTO"/>
    <s v="OUT"/>
    <s v="OUTROS"/>
    <n v="8552580985"/>
    <x v="0"/>
    <s v="586.95"/>
    <s v="147.93"/>
    <n v="230"/>
    <s v="NÃO LOCALIZADO"/>
    <s v="TELEFONES SEM ATENDIMENTO"/>
    <n v="0"/>
    <x v="1"/>
    <s v="15.10"/>
    <s v="gleise"/>
    <s v="181 a 360"/>
    <s v="ACIONAMENTO"/>
    <x v="0"/>
  </r>
  <r>
    <s v="COGECOM"/>
    <n v="40672443"/>
    <s v="LUIZ ANTÔNIO GROCOSKI"/>
    <s v="OUT"/>
    <s v="OUTROS"/>
    <n v="3211521909"/>
    <x v="0"/>
    <s v="259.18"/>
    <s v="250.13"/>
    <n v="197"/>
    <s v="NÃO LOCALIZADO"/>
    <s v="TELEFONES SEM ATENDIMENTO"/>
    <n v="0"/>
    <x v="1"/>
    <s v="10.58"/>
    <s v="gleise"/>
    <s v="181 a 360"/>
    <s v="ACIONAMENTO"/>
    <x v="0"/>
  </r>
  <r>
    <s v="COGECOM"/>
    <n v="14149060"/>
    <s v="MAIK DEIVER NUNES"/>
    <s v="OUT"/>
    <s v="OUTROS"/>
    <n v="96886714104"/>
    <x v="0"/>
    <s v="4254.91"/>
    <s v="273.00"/>
    <n v="339"/>
    <s v="NÃO LOCALIZADO"/>
    <s v="TELEFONES SEM ATENDIMENTO"/>
    <n v="0"/>
    <x v="1"/>
    <s v="11.40"/>
    <s v="gleise"/>
    <s v="181 a 360"/>
    <s v="ACIONAMENTO"/>
    <x v="0"/>
  </r>
  <r>
    <s v="COGECOM"/>
    <n v="54269482"/>
    <s v="MARCELA CRISTINA GONCALES DOS SANTOS"/>
    <s v="OUT"/>
    <s v="OUTROS"/>
    <n v="6342777900"/>
    <x v="0"/>
    <s v="1828.34"/>
    <s v="107.64"/>
    <n v="649"/>
    <s v="NÃO LOCALIZADO"/>
    <s v="TELEFONES SEM ATENDIMENTO"/>
    <n v="0"/>
    <x v="1"/>
    <s v="13.02"/>
    <s v="gleise"/>
    <s v="Acima de 361"/>
    <s v="ACIONAMENTO"/>
    <x v="0"/>
  </r>
  <r>
    <s v="COGECOM"/>
    <n v="92011322"/>
    <s v="MARCELLE DOROTHEA MARQUES LOURENCO"/>
    <s v="OUT"/>
    <s v="OUTROS"/>
    <n v="33074401877"/>
    <x v="0"/>
    <s v="165.29"/>
    <s v="165.29"/>
    <n v="330"/>
    <s v="NÃO LOCALIZADO"/>
    <s v="TELEFONES SEM ATENDIMENTO"/>
    <n v="0"/>
    <x v="1"/>
    <s v="15.11"/>
    <s v="gleise"/>
    <s v="181 a 360"/>
    <s v="ACIONAMENTO"/>
    <x v="0"/>
  </r>
  <r>
    <s v="COGECOM"/>
    <n v="50735168"/>
    <s v="MARCELO DE BEM MUELLER"/>
    <s v="OUT"/>
    <s v="OUTROS"/>
    <n v="86757288915"/>
    <x v="0"/>
    <s v="1104.32"/>
    <s v="346.90"/>
    <n v="416"/>
    <s v="NÃO LOCALIZADO"/>
    <s v="TELEFONES SEM ATENDIMENTO"/>
    <n v="0"/>
    <x v="1"/>
    <s v="9.57"/>
    <s v="gleise"/>
    <s v="Acima de 361"/>
    <s v="ACIONAMENTO"/>
    <x v="0"/>
  </r>
  <r>
    <s v="COGECOM"/>
    <n v="3007306326"/>
    <s v="MARCIO ROBERTO MUNIZ"/>
    <s v="OUT"/>
    <s v="OUTROS"/>
    <n v="4889686665"/>
    <x v="0"/>
    <s v="658.77"/>
    <s v="124.84"/>
    <n v="218"/>
    <s v="NÃO LOCALIZADO"/>
    <s v="TELEFONES SEM ATENDIMENTO"/>
    <n v="0"/>
    <x v="1"/>
    <s v="11.10"/>
    <s v="gleise"/>
    <s v="181 a 360"/>
    <s v="ACIONAMENTO"/>
    <x v="0"/>
  </r>
  <r>
    <s v="COGECOM"/>
    <n v="1390026910"/>
    <s v="MARIA ANTONIA DE SOUSA"/>
    <s v="OUT"/>
    <s v="OUTROS"/>
    <n v="81506333168"/>
    <x v="0"/>
    <s v="700.88"/>
    <s v="119.15"/>
    <n v="226"/>
    <s v="NÃO LOCALIZADO"/>
    <s v="TELEFONES SEM ATENDIMENTO"/>
    <n v="0"/>
    <x v="1"/>
    <s v="12.58"/>
    <s v="gleise"/>
    <s v="181 a 360"/>
    <s v="ACIONAMENTO"/>
    <x v="0"/>
  </r>
  <r>
    <s v="COGECOM"/>
    <n v="12779441"/>
    <s v="MARIA APARECIDA CANDIDA DE SOUSA"/>
    <s v="OUT"/>
    <s v="OUTROS"/>
    <n v="3205576187"/>
    <x v="0"/>
    <s v="358.86"/>
    <s v="126.36"/>
    <n v="175"/>
    <s v="NÃO LOCALIZADO"/>
    <s v="TELEFONES SEM ATENDIMENTO"/>
    <n v="0"/>
    <x v="1"/>
    <s v="11.05"/>
    <s v="gleise"/>
    <s v="91 a 180"/>
    <s v="ACIONAMENTO"/>
    <x v="0"/>
  </r>
  <r>
    <s v="COGECOM"/>
    <n v="98299468"/>
    <s v="MARIA BETINA GOMES DE LIMA"/>
    <s v="OUT"/>
    <s v="OUTROS"/>
    <n v="5036363124"/>
    <x v="0"/>
    <s v="279.83"/>
    <s v="140.03"/>
    <n v="358"/>
    <s v="NÃO LOCALIZADO"/>
    <s v="TELEFONES SEM ATENDIMENTO"/>
    <n v="0"/>
    <x v="1"/>
    <s v="11.09"/>
    <s v="gleise"/>
    <s v="181 a 360"/>
    <s v="ACIONAMENTO"/>
    <x v="0"/>
  </r>
  <r>
    <s v="COGECOM"/>
    <n v="20674132"/>
    <s v="MARIA FRANCISCA CAMPOS"/>
    <s v="OUT"/>
    <s v="OUTROS"/>
    <n v="45531560168"/>
    <x v="0"/>
    <s v="445.04"/>
    <s v="30.76"/>
    <n v="224"/>
    <s v="NÃO LOCALIZADO"/>
    <s v="TELEFONES SEM ATENDIMENTO"/>
    <n v="0"/>
    <x v="1"/>
    <s v="13.25"/>
    <s v="gleise"/>
    <s v="181 a 360"/>
    <s v="ACIONAMENTO"/>
    <x v="0"/>
  </r>
  <r>
    <s v="COGECOM"/>
    <n v="10009527212"/>
    <s v="MAXWEL YURI XAVIER ALVES"/>
    <s v="OUT"/>
    <s v="OUTROS"/>
    <n v="2546189107"/>
    <x v="0"/>
    <s v="630.52"/>
    <s v="48.86"/>
    <n v="202"/>
    <s v="NÃO LOCALIZADO"/>
    <s v="TELEFONES SEM ATENDIMENTO"/>
    <n v="0"/>
    <x v="1"/>
    <s v="11.17"/>
    <s v="gleise"/>
    <s v="181 a 360"/>
    <s v="ACIONAMENTO"/>
    <x v="0"/>
  </r>
  <r>
    <s v="COGECOM"/>
    <n v="3090229114"/>
    <s v="MICHELI APARECIDA SCHMIDT"/>
    <s v="OUT"/>
    <s v="OUTROS"/>
    <n v="1878225065"/>
    <x v="0"/>
    <s v="389.28"/>
    <s v="74.95"/>
    <n v="230"/>
    <s v="NÃO LOCALIZADO"/>
    <s v="TELEFONES SEM ATENDIMENTO"/>
    <n v="0"/>
    <x v="1"/>
    <s v="14.23"/>
    <s v="gleise"/>
    <s v="181 a 360"/>
    <s v="ACIONAMENTO"/>
    <x v="0"/>
  </r>
  <r>
    <s v="COGECOM"/>
    <n v="45728935"/>
    <s v="NADIA DOROTEIA STEINCK COELHO LOTIN"/>
    <s v="OUT"/>
    <s v="OUTROS"/>
    <n v="68175124920"/>
    <x v="0"/>
    <s v="103.06"/>
    <s v="103.06"/>
    <n v="595"/>
    <s v="AG RESPOSTA 1º CONTATO"/>
    <s v="ENVIADO MSG/E-MAIL 1º CONTATO"/>
    <n v="0"/>
    <x v="1"/>
    <s v="17.17"/>
    <s v="l.quadros"/>
    <s v="Acima de 361"/>
    <s v="ACIONAMENTO"/>
    <x v="4"/>
  </r>
  <r>
    <s v="COGECOM"/>
    <n v="3091259734"/>
    <s v="NICOLLE ABDO"/>
    <s v="OUT"/>
    <s v="OUTROS"/>
    <n v="3969035090"/>
    <x v="0"/>
    <s v="1648.86"/>
    <s v="269.01"/>
    <n v="282"/>
    <s v="NÃO LOCALIZADO"/>
    <s v="TELEFONES SEM ATENDIMENTO"/>
    <n v="0"/>
    <x v="1"/>
    <s v="10.15"/>
    <s v="gleise"/>
    <s v="181 a 360"/>
    <s v="ACIONAMENTO"/>
    <x v="0"/>
  </r>
  <r>
    <s v="COGECOM"/>
    <n v="20167733"/>
    <s v="NILSON GEANDRE SUSKI"/>
    <s v="OUT"/>
    <s v="OUTROS"/>
    <n v="96671114900"/>
    <x v="0"/>
    <s v="237.83"/>
    <s v="145.80"/>
    <n v="445"/>
    <s v="NÃO LOCALIZADO"/>
    <s v="TELEFONES SEM ATENDIMENTO"/>
    <n v="0"/>
    <x v="1"/>
    <s v="15.24"/>
    <s v="gleise"/>
    <s v="Acima de 361"/>
    <s v="ACIONAMENTO"/>
    <x v="0"/>
  </r>
  <r>
    <s v="COGECOM"/>
    <n v="42374"/>
    <s v="P4 TELECOM EIRELI"/>
    <s v="OUT"/>
    <s v="OUTROS"/>
    <n v="10703677000140"/>
    <x v="0"/>
    <s v="67.08"/>
    <s v="67.08"/>
    <n v="650"/>
    <s v="NÃO LOCALIZADO"/>
    <s v="TELEFONES SEM ATENDIMENTO"/>
    <n v="0"/>
    <x v="1"/>
    <s v="9.51"/>
    <s v="gleise"/>
    <s v="Acima de 361"/>
    <s v="ACIONAMENTO"/>
    <x v="0"/>
  </r>
  <r>
    <s v="COGECOM"/>
    <n v="3091512356"/>
    <s v="PAULO ROBERTO ANTUNES VARGAS FILHO"/>
    <s v="OUT"/>
    <s v="OUTROS"/>
    <n v="2449130055"/>
    <x v="0"/>
    <s v="454.98"/>
    <s v="79.64"/>
    <n v="193"/>
    <s v="SEM INTERESSE"/>
    <s v="NEGOCIAÇÃO VIA WHATSAPP"/>
    <n v="0"/>
    <x v="1"/>
    <s v="17.09"/>
    <s v="l.quadros"/>
    <s v="181 a 360"/>
    <s v="CPC"/>
    <x v="1"/>
  </r>
  <r>
    <s v="COGECOM"/>
    <n v="4003114414"/>
    <s v="PAULO ROBERTO HASPER"/>
    <s v="OUT"/>
    <s v="OUTROS"/>
    <n v="7526758933"/>
    <x v="0"/>
    <s v="698.22"/>
    <s v="698.22"/>
    <n v="279"/>
    <s v="NÃO LOCALIZADO"/>
    <s v="TELEFONES SEM ATENDIMENTO"/>
    <n v="0"/>
    <x v="1"/>
    <s v="15.28"/>
    <s v="gleise"/>
    <s v="181 a 360"/>
    <s v="ACIONAMENTO"/>
    <x v="0"/>
  </r>
  <r>
    <s v="COGECOM"/>
    <n v="690172930"/>
    <s v="PRISCILA CRISTINA TAVARES LIMA"/>
    <s v="OUT"/>
    <s v="OUTROS"/>
    <n v="1239617186"/>
    <x v="0"/>
    <s v="974.58"/>
    <s v="85.31"/>
    <n v="337"/>
    <s v="NÃO LOCALIZADO"/>
    <s v="TELEFONES SEM ATENDIMENTO"/>
    <n v="0"/>
    <x v="1"/>
    <s v="11.13"/>
    <s v="gleise"/>
    <s v="181 a 360"/>
    <s v="ACIONAMENTO"/>
    <x v="0"/>
  </r>
  <r>
    <s v="COGECOM"/>
    <n v="3011232965"/>
    <s v="PRISCILA FREITAS DE OLIVEIRA"/>
    <s v="OUT"/>
    <s v="OUTROS"/>
    <n v="9396649686"/>
    <x v="0"/>
    <s v="1788.91"/>
    <s v="442.05"/>
    <n v="283"/>
    <s v="AG RESPOSTA 1º CONTATO"/>
    <s v="ENVIADO MSG/E-MAIL 1º CONTATO"/>
    <n v="0"/>
    <x v="1"/>
    <s v="10.33"/>
    <s v="l.quadros"/>
    <s v="181 a 360"/>
    <s v="ACIONAMENTO"/>
    <x v="4"/>
  </r>
  <r>
    <s v="COGECOM"/>
    <n v="33341400"/>
    <s v="RAINA PAULA TOMPSON"/>
    <s v="OUT"/>
    <s v="OUTROS"/>
    <n v="9542559925"/>
    <x v="0"/>
    <s v="936.42"/>
    <s v="154.81"/>
    <n v="261"/>
    <s v="NÃO LOCALIZADO"/>
    <s v="TELEFONES SEM ATENDIMENTO"/>
    <n v="0"/>
    <x v="1"/>
    <s v="15.29"/>
    <s v="gleise"/>
    <s v="181 a 360"/>
    <s v="ACIONAMENTO"/>
    <x v="0"/>
  </r>
  <r>
    <s v="COGECOM"/>
    <n v="12534730"/>
    <s v="REINALDO MONTINI"/>
    <s v="OUT"/>
    <s v="OUTROS"/>
    <n v="3241473929"/>
    <x v="0"/>
    <s v="3098.14"/>
    <s v="579.20"/>
    <n v="402"/>
    <s v="AG RESPOSTA 1º CONTATO"/>
    <s v="ENVIADO MSG/E-MAIL 1º CONTATO"/>
    <n v="0"/>
    <x v="1"/>
    <s v="11.49"/>
    <s v="l.quadros"/>
    <s v="Acima de 361"/>
    <s v="ACIONAMENTO"/>
    <x v="4"/>
  </r>
  <r>
    <s v="COGECOM"/>
    <n v="76333990"/>
    <s v="RENAN PIERRE CASTELO BRANCO"/>
    <s v="OUT"/>
    <s v="OUTROS"/>
    <n v="2866284909"/>
    <x v="0"/>
    <s v="398.32"/>
    <s v="247.61"/>
    <n v="469"/>
    <s v="NÃO LOCALIZADO"/>
    <s v="TELEFONES SEM ATENDIMENTO"/>
    <n v="0"/>
    <x v="1"/>
    <s v="15.29"/>
    <s v="gleise"/>
    <s v="Acima de 361"/>
    <s v="ACIONAMENTO"/>
    <x v="0"/>
  </r>
  <r>
    <s v="COGECOM"/>
    <n v="76060772"/>
    <s v="RENATA KWIATKOWSKI"/>
    <s v="OUT"/>
    <s v="OUTROS"/>
    <n v="3663706931"/>
    <x v="0"/>
    <s v="421.45"/>
    <s v="131.93"/>
    <n v="206"/>
    <s v="SEM INTERESSE"/>
    <s v="NEGOCIAÇÃO VIA TELEFONE"/>
    <n v="0"/>
    <x v="1"/>
    <s v="15.32"/>
    <s v="gleise"/>
    <s v="181 a 360"/>
    <s v="CPC"/>
    <x v="1"/>
  </r>
  <r>
    <s v="COGECOM"/>
    <n v="10010542769"/>
    <s v="RESIDENCIAL MARATA"/>
    <s v="OUT"/>
    <s v="OUTROS"/>
    <n v="15421748000135"/>
    <x v="0"/>
    <s v="1245.91"/>
    <s v="328.53"/>
    <n v="206"/>
    <s v="NÃO LOCALIZADO"/>
    <s v="TELEFONES SEM ATENDIMENTO"/>
    <n v="0"/>
    <x v="1"/>
    <s v="11.36"/>
    <s v="gleise"/>
    <s v="181 a 360"/>
    <s v="ACIONAMENTO"/>
    <x v="0"/>
  </r>
  <r>
    <s v="COGECOM"/>
    <n v="3003493423"/>
    <s v="RESTAURANTE ROJAS E ALVES LTDA"/>
    <s v="OUT"/>
    <s v="OUTROS"/>
    <n v="42907953000188"/>
    <x v="0"/>
    <s v="1367.56"/>
    <s v="335.27"/>
    <n v="948"/>
    <s v="NÃO LOCALIZADO"/>
    <s v="TELEFONES SEM ATENDIMENTO"/>
    <n v="0"/>
    <x v="1"/>
    <s v="15.32"/>
    <s v="gleise"/>
    <s v="Acima de 361"/>
    <s v="ACIONAMENTO"/>
    <x v="0"/>
  </r>
  <r>
    <s v="COGECOM"/>
    <n v="10022984249"/>
    <s v="ROBSON WESLEY AMARAL GEORGE"/>
    <s v="OUT"/>
    <s v="OUTROS"/>
    <n v="744912105"/>
    <x v="0"/>
    <s v="259.12"/>
    <s v="48.86"/>
    <n v="227"/>
    <s v="NÃO LOCALIZADO"/>
    <s v="TELEFONES SEM ATENDIMENTO"/>
    <n v="0"/>
    <x v="1"/>
    <s v="15.33"/>
    <s v="gleise"/>
    <s v="181 a 360"/>
    <s v="ACIONAMENTO"/>
    <x v="0"/>
  </r>
  <r>
    <s v="COGECOM"/>
    <n v="3010442294"/>
    <s v="ROGERIO DE SALES PINTO"/>
    <s v="OUT"/>
    <s v="OUTROS"/>
    <n v="9324546660"/>
    <x v="0"/>
    <s v="188.57"/>
    <s v="88.99"/>
    <n v="325"/>
    <s v="NÃO LOCALIZADO"/>
    <s v="TELEFONES SEM ATENDIMENTO"/>
    <n v="0"/>
    <x v="1"/>
    <s v="15.34"/>
    <s v="gleise"/>
    <s v="181 a 360"/>
    <s v="ACIONAMENTO"/>
    <x v="0"/>
  </r>
  <r>
    <s v="COGECOM"/>
    <n v="3082537704"/>
    <s v="ROGÉRIO DOS SANTOS FERREIRA"/>
    <s v="OUT"/>
    <s v="OUTROS"/>
    <n v="17627518873"/>
    <x v="0"/>
    <s v="482.61"/>
    <s v="482.61"/>
    <n v="224"/>
    <s v="NÃO LOCALIZADO"/>
    <s v="TELEFONES SEM ATENDIMENTO"/>
    <n v="0"/>
    <x v="1"/>
    <s v="11.31"/>
    <s v="gleise"/>
    <s v="181 a 360"/>
    <s v="ACIONAMENTO"/>
    <x v="0"/>
  </r>
  <r>
    <s v="COGECOM"/>
    <n v="2680015259"/>
    <s v="RONEN VERGINES RODRIGUES"/>
    <s v="OUT"/>
    <s v="OUTROS"/>
    <n v="83612858149"/>
    <x v="0"/>
    <s v="480.41"/>
    <s v="46.15"/>
    <n v="212"/>
    <s v="SEM CONDIÇÕES"/>
    <s v="NEGOCIAÇÃO VIA TELEFONE"/>
    <n v="0"/>
    <x v="1"/>
    <s v="13.24"/>
    <s v="gleise"/>
    <s v="181 a 360"/>
    <s v="CPC"/>
    <x v="3"/>
  </r>
  <r>
    <s v="COGECOM"/>
    <n v="4002018551"/>
    <s v="ROSELI DOS SANTOS NEGREIROS"/>
    <s v="OUT"/>
    <s v="OUTROS"/>
    <n v="90661109020"/>
    <x v="0"/>
    <s v="102.85"/>
    <s v="102.85"/>
    <n v="363"/>
    <s v="NÃO LOCALIZADO"/>
    <s v="TELEFONES SEM ATENDIMENTO"/>
    <n v="0"/>
    <x v="1"/>
    <s v="15.38"/>
    <s v="gleise"/>
    <s v="Acima de 361"/>
    <s v="ACIONAMENTO"/>
    <x v="0"/>
  </r>
  <r>
    <s v="COGECOM"/>
    <n v="24769208"/>
    <s v="SALATE CONSTANTINI"/>
    <s v="OUT"/>
    <s v="OUTROS"/>
    <n v="96474246120"/>
    <x v="0"/>
    <s v="1541.88"/>
    <s v="141.23"/>
    <n v="1311"/>
    <s v="NÃO LOCALIZADO"/>
    <s v="TELEFONES SEM ATENDIMENTO"/>
    <n v="0"/>
    <x v="1"/>
    <s v="15.35"/>
    <s v="gleise"/>
    <s v="Acima de 361"/>
    <s v="ACIONAMENTO"/>
    <x v="0"/>
  </r>
  <r>
    <s v="COGECOM"/>
    <n v="3002385209"/>
    <s v="SAMIR DE OLIVEIRA"/>
    <s v="OUT"/>
    <s v="OUTROS"/>
    <n v="915934680"/>
    <x v="0"/>
    <s v="571.81"/>
    <s v="369.07"/>
    <n v="288"/>
    <s v="NÃO LOCALIZADO"/>
    <s v="TELEFONES SEM ATENDIMENTO"/>
    <n v="0"/>
    <x v="1"/>
    <s v="11.34"/>
    <s v="gleise"/>
    <s v="181 a 360"/>
    <s v="ACIONAMENTO"/>
    <x v="0"/>
  </r>
  <r>
    <s v="COGECOM"/>
    <n v="3003571164"/>
    <s v="SANDRO PENA AURELIANO"/>
    <s v="OUT"/>
    <s v="OUTROS"/>
    <n v="4108979656"/>
    <x v="0"/>
    <s v="134.08"/>
    <s v="134.08"/>
    <n v="309"/>
    <s v="NÃO LOCALIZADO"/>
    <s v="TELEFONES SEM ATENDIMENTO"/>
    <n v="0"/>
    <x v="1"/>
    <s v="15.36"/>
    <s v="gleise"/>
    <s v="181 a 360"/>
    <s v="ACIONAMENTO"/>
    <x v="0"/>
  </r>
  <r>
    <s v="COGECOM"/>
    <n v="50988000"/>
    <s v="SAULO MILLER MARINS"/>
    <s v="OUT"/>
    <s v="OUTROS"/>
    <n v="7431186932"/>
    <x v="0"/>
    <s v="698.23"/>
    <s v="50.54"/>
    <n v="290"/>
    <s v="NÃO LOCALIZADO"/>
    <s v="TELEFONES SEM ATENDIMENTO"/>
    <n v="0"/>
    <x v="1"/>
    <s v="15.36"/>
    <s v="gleise"/>
    <s v="181 a 360"/>
    <s v="ACIONAMENTO"/>
    <x v="0"/>
  </r>
  <r>
    <s v="COGECOM"/>
    <n v="3003027564"/>
    <s v="SEBASTIAO REZENDE REIS"/>
    <s v="OUT"/>
    <s v="OUTROS"/>
    <n v="55094937634"/>
    <x v="0"/>
    <s v="1777.95"/>
    <s v="1042.44"/>
    <n v="367"/>
    <s v="NÃO LOCALIZADO"/>
    <s v="TELEFONES SEM ATENDIMENTO"/>
    <n v="0"/>
    <x v="1"/>
    <s v="15.37"/>
    <s v="gleise"/>
    <s v="Acima de 361"/>
    <s v="ACIONAMENTO"/>
    <x v="0"/>
  </r>
  <r>
    <s v="COGECOM"/>
    <n v="9213449"/>
    <s v="SUL BEBIDAS LTDA"/>
    <s v="OUT"/>
    <s v="OUTROS"/>
    <n v="27392474000182"/>
    <x v="0"/>
    <s v="7808.57"/>
    <s v="2376.92"/>
    <n v="541"/>
    <s v="NÃO LOCALIZADO"/>
    <s v="TELEFONES SEM ATENDIMENTO"/>
    <n v="0"/>
    <x v="1"/>
    <s v="9.23"/>
    <s v="gleise"/>
    <s v="Acima de 361"/>
    <s v="ACIONAMENTO"/>
    <x v="0"/>
  </r>
  <r>
    <s v="COGECOM"/>
    <n v="10028013717"/>
    <s v="THIAGO GOMES DE ANDRADE"/>
    <s v="OUT"/>
    <s v="OUTROS"/>
    <n v="99623331134"/>
    <x v="0"/>
    <s v="636.38"/>
    <s v="21.63"/>
    <n v="205"/>
    <s v="NÃO LOCALIZADO"/>
    <s v="TELEFONES SEM ATENDIMENTO"/>
    <n v="0"/>
    <x v="1"/>
    <s v="15.39"/>
    <s v="gleise"/>
    <s v="181 a 360"/>
    <s v="ACIONAMENTO"/>
    <x v="0"/>
  </r>
  <r>
    <s v="COGECOM"/>
    <n v="105945978"/>
    <s v="THIAGO TOBIAS LOPES"/>
    <s v="OUT"/>
    <s v="OUTROS"/>
    <n v="4979617921"/>
    <x v="0"/>
    <s v="411.83"/>
    <s v="251.57"/>
    <n v="201"/>
    <s v="AG RESPOSTA 1º CONTATO"/>
    <s v="ENVIADO MSG/E-MAIL 1º CONTATO"/>
    <n v="0"/>
    <x v="1"/>
    <s v="14.14"/>
    <s v="l.quadros"/>
    <s v="181 a 360"/>
    <s v="ACIONAMENTO"/>
    <x v="4"/>
  </r>
  <r>
    <s v="COGECOM"/>
    <n v="97873152"/>
    <s v="TIAGO GALHARDONE NEVES"/>
    <s v="OUT"/>
    <s v="OUTROS"/>
    <n v="6769184923"/>
    <x v="0"/>
    <s v="17557.14"/>
    <s v="4463.53"/>
    <n v="765"/>
    <s v="SEM CONDIÇÕES"/>
    <s v="NEGOCIAÇÃO VIA TELEFONE"/>
    <n v="0"/>
    <x v="1"/>
    <s v="11.23"/>
    <s v="gleise"/>
    <s v="Acima de 361"/>
    <s v="CPC"/>
    <x v="3"/>
  </r>
  <r>
    <s v="COGECOM"/>
    <n v="32095457"/>
    <s v="TOMAS MURARO PANIFICADORA ME"/>
    <s v="OUT"/>
    <s v="OUTROS"/>
    <n v="24103036000169"/>
    <x v="0"/>
    <s v="2203.47"/>
    <s v="919.12"/>
    <n v="1811"/>
    <s v="NÃO LOCALIZADO"/>
    <s v="TELEFONES SEM ATENDIMENTO"/>
    <n v="0"/>
    <x v="1"/>
    <s v="15.39"/>
    <s v="gleise"/>
    <s v="Acima de 361"/>
    <s v="ACIONAMENTO"/>
    <x v="0"/>
  </r>
  <r>
    <s v="COGECOM"/>
    <n v="92238246"/>
    <s v="VILSON LUIZ BELLO"/>
    <s v="OUT"/>
    <s v="OUTROS"/>
    <n v="80632459972"/>
    <x v="0"/>
    <s v="50.15"/>
    <s v="50.15"/>
    <n v="626"/>
    <s v="NÃO LOCALIZADO"/>
    <s v="TELEFONES SEM ATENDIMENTO"/>
    <n v="0"/>
    <x v="1"/>
    <s v="15.41"/>
    <s v="gleise"/>
    <s v="Acima de 361"/>
    <s v="ACIONAMENTO"/>
    <x v="0"/>
  </r>
  <r>
    <s v="COGECOM"/>
    <n v="3095233020"/>
    <s v="VOLNEY OLIVEIRA TAVARES"/>
    <s v="OUT"/>
    <s v="OUTROS"/>
    <n v="45120676049"/>
    <x v="0"/>
    <s v="1456.86"/>
    <s v="748.09"/>
    <n v="401"/>
    <s v="NÃO LOCALIZADO"/>
    <s v="TELEFONES SEM ATENDIMENTO"/>
    <n v="0"/>
    <x v="1"/>
    <s v="15.42"/>
    <s v="gleise"/>
    <s v="Acima de 361"/>
    <s v="ACIONAMENTO"/>
    <x v="0"/>
  </r>
  <r>
    <s v="COGECOM"/>
    <n v="3090911605"/>
    <s v="WALTER DANN"/>
    <s v="OUT"/>
    <s v="OUTROS"/>
    <n v="25421581004"/>
    <x v="0"/>
    <s v="130.18"/>
    <s v="130.18"/>
    <n v="274"/>
    <s v="SEM CONDIÇÕES"/>
    <s v="NEGOCIAÇÃO VIA TELEFONE"/>
    <n v="0"/>
    <x v="1"/>
    <s v="15.44"/>
    <s v="gleise"/>
    <s v="181 a 360"/>
    <s v="CPC"/>
    <x v="3"/>
  </r>
  <r>
    <s v="COGECOM"/>
    <n v="690082368"/>
    <s v="WILSOM PEREIRA DOS SANTOS"/>
    <s v="OUT"/>
    <s v="OUTROS"/>
    <n v="79965580197"/>
    <x v="0"/>
    <s v="1146.61"/>
    <s v="323.24"/>
    <n v="392"/>
    <s v="NÃO LOCALIZADO"/>
    <s v="TELEFONES SEM ATENDIMENTO"/>
    <n v="0"/>
    <x v="1"/>
    <s v="15.45"/>
    <s v="gleise"/>
    <s v="Acima de 361"/>
    <s v="ACIONAMENTO"/>
    <x v="0"/>
  </r>
  <r>
    <s v="COGECOM"/>
    <n v="7195230"/>
    <s v="MASTERTEX INDUSTRIA E COMERCIO DE MALHAS LTDA"/>
    <s v="OUT"/>
    <s v="OUTROS"/>
    <n v="6284241000196"/>
    <x v="0"/>
    <s v="8701.60"/>
    <s v="1710.13"/>
    <n v="316"/>
    <s v="NÃO LOCALIZADO"/>
    <s v="TELEFONES SEM ATENDIMENTO"/>
    <n v="0"/>
    <x v="1"/>
    <s v="9.53"/>
    <s v="gleise"/>
    <s v="181 a 360"/>
    <s v="ACIONAMENTO"/>
    <x v="0"/>
  </r>
  <r>
    <s v="COGECOM"/>
    <n v="3014312768"/>
    <s v="MATEUS JOSE SILVA SANCHES"/>
    <s v="OUT"/>
    <s v="OUTROS"/>
    <n v="11878286617"/>
    <x v="0"/>
    <s v="1548.07"/>
    <s v="1548.07"/>
    <n v="283"/>
    <s v="NÃO LOCALIZADO"/>
    <s v="TELEFONES SEM ATENDIMENTO"/>
    <n v="0"/>
    <x v="1"/>
    <s v="15.47"/>
    <s v="gleise"/>
    <s v="181 a 360"/>
    <s v="ACIONAMENTO"/>
    <x v="0"/>
  </r>
  <r>
    <s v="COGECOM"/>
    <n v="2460193021"/>
    <s v="HERBERT JONES FARIAS SANTOS"/>
    <s v="OUT"/>
    <s v="OUTROS"/>
    <n v="2528803150"/>
    <x v="0"/>
    <s v="4530.41"/>
    <s v="1387.20"/>
    <n v="350"/>
    <s v="NÃO LOCALIZADO"/>
    <s v="TELEFONES SEM ATENDIMENTO"/>
    <n v="0"/>
    <x v="1"/>
    <s v="15.46"/>
    <s v="gleise"/>
    <s v="181 a 360"/>
    <s v="ACIONAMENTO"/>
    <x v="0"/>
  </r>
  <r>
    <s v="COGECOM"/>
    <n v="10003642044"/>
    <s v="JOAO BATISTA CID"/>
    <s v="OUT"/>
    <s v="OUTROS"/>
    <n v="74222210897"/>
    <x v="0"/>
    <s v="980.34"/>
    <s v="980.34"/>
    <n v="283"/>
    <s v="NÃO LOCALIZADO"/>
    <s v="TELEFONES SEM ATENDIMENTO"/>
    <n v="0"/>
    <x v="1"/>
    <s v="10.50"/>
    <s v="gleise"/>
    <s v="181 a 360"/>
    <s v="ACIONAMENTO"/>
    <x v="0"/>
  </r>
  <r>
    <s v="COGECOM"/>
    <n v="3095655871"/>
    <s v="GERSON GILSON CORDEIRO"/>
    <s v="OUT"/>
    <s v="OUTROS"/>
    <n v="57907293987"/>
    <x v="0"/>
    <s v="897.71"/>
    <s v="897.71"/>
    <n v="275"/>
    <s v="NÃO LOCALIZADO"/>
    <s v="TELEFONES SEM ATENDIMENTO"/>
    <n v="0"/>
    <x v="1"/>
    <s v="9.21"/>
    <s v="gleise"/>
    <s v="181 a 360"/>
    <s v="ACIONAMENTO"/>
    <x v="0"/>
  </r>
  <r>
    <s v="COGECOM"/>
    <n v="108386325"/>
    <s v="ALEXANDRO LUIZ DE SOUZA"/>
    <s v="OUT"/>
    <s v="OUTROS"/>
    <n v="3931987906"/>
    <x v="0"/>
    <s v="3593.79"/>
    <s v="751.65"/>
    <n v="281"/>
    <s v="NÃO LOCALIZADO"/>
    <s v="TELEFONES SEM ATENDIMENTO"/>
    <n v="0"/>
    <x v="1"/>
    <s v="15.48"/>
    <s v="gleise"/>
    <s v="181 a 360"/>
    <s v="ACIONAMENTO"/>
    <x v="0"/>
  </r>
  <r>
    <s v="COGECOM"/>
    <n v="14821497"/>
    <s v="HALLINE FRANCELLE MENDONÇA DOS SANTOS MIRANDA"/>
    <s v="OUT"/>
    <s v="OUTROS"/>
    <n v="93164033168"/>
    <x v="0"/>
    <s v="1814.57"/>
    <s v="510.31"/>
    <n v="335"/>
    <s v="NÃO LOCALIZADO"/>
    <s v="TELEFONES SEM ATENDIMENTO"/>
    <n v="0"/>
    <x v="1"/>
    <s v="14.25"/>
    <s v="gleise"/>
    <s v="181 a 360"/>
    <s v="ACIONAMENTO"/>
    <x v="0"/>
  </r>
  <r>
    <s v="COGECOM"/>
    <n v="927988"/>
    <s v="KONS RESTAURANTE E CHURRASCARIA LTDA"/>
    <s v="OUT"/>
    <s v="OUTROS"/>
    <n v="42603130000169"/>
    <x v="0"/>
    <s v="1303.43"/>
    <s v="461.62"/>
    <n v="190"/>
    <s v="NÃO LOCALIZADO"/>
    <s v="TELEFONES SEM ATENDIMENTO"/>
    <n v="0"/>
    <x v="1"/>
    <s v="9.55"/>
    <s v="gleise"/>
    <s v="181 a 360"/>
    <s v="ACIONAMENTO"/>
    <x v="0"/>
  </r>
  <r>
    <s v="COGECOM"/>
    <n v="3737853"/>
    <s v="HILARIO BATISTA SEIXAS"/>
    <s v="OUT"/>
    <s v="OUTROS"/>
    <n v="3465640934"/>
    <x v="0"/>
    <s v="1048.79"/>
    <s v="301.95"/>
    <n v="186"/>
    <s v="NÃO LOCALIZADO"/>
    <s v="TELEFONES SEM ATENDIMENTO"/>
    <n v="0"/>
    <x v="1"/>
    <s v="10.54"/>
    <s v="gleise"/>
    <s v="181 a 360"/>
    <s v="ACIONAMENTO"/>
    <x v="0"/>
  </r>
  <r>
    <s v="COGECOM"/>
    <n v="88956083"/>
    <s v="VITORIA NARITA DANTAS"/>
    <s v="OUT"/>
    <s v="OUTROS"/>
    <n v="11127876902"/>
    <x v="0"/>
    <s v="1445.86"/>
    <s v="288.91"/>
    <n v="422"/>
    <s v="NÃO LOCALIZADO"/>
    <s v="TELEFONES SEM ATENDIMENTO"/>
    <n v="0"/>
    <x v="1"/>
    <s v="11.39"/>
    <s v="gleise"/>
    <s v="Acima de 361"/>
    <s v="ACIONAMENTO"/>
    <x v="0"/>
  </r>
  <r>
    <s v="COGECOM"/>
    <n v="106798022"/>
    <s v="LUIS FERNANDO HELLMANN"/>
    <s v="OUT"/>
    <s v="OUTROS"/>
    <n v="2911456980"/>
    <x v="0"/>
    <s v="252.34"/>
    <s v="252.34"/>
    <n v="184"/>
    <s v="NÃO LOCALIZADO"/>
    <s v="TELEFONES SEM ATENDIMENTO"/>
    <n v="0"/>
    <x v="1"/>
    <s v="15.48"/>
    <s v="gleise"/>
    <s v="181 a 360"/>
    <s v="ACIONAMENTO"/>
    <x v="0"/>
  </r>
  <r>
    <s v="COGECOM"/>
    <n v="79121373"/>
    <s v="WANDER MAICON DE OLIVEIRA"/>
    <s v="OUT"/>
    <s v="OUTROS"/>
    <n v="4972345993"/>
    <x v="0"/>
    <s v="487.43"/>
    <s v="250.67"/>
    <n v="169"/>
    <s v="NÃO LOCALIZADO"/>
    <s v="TELEFONES SEM ATENDIMENTO"/>
    <n v="0"/>
    <x v="1"/>
    <s v="15.49"/>
    <s v="gleise"/>
    <s v="91 a 180"/>
    <s v="ACIONAMENTO"/>
    <x v="0"/>
  </r>
  <r>
    <s v="COGECOM"/>
    <n v="30636752"/>
    <s v="DAVID MARCOS MARINS DA SILVA"/>
    <s v="OUT"/>
    <s v="OUTROS"/>
    <n v="6113280977"/>
    <x v="0"/>
    <s v="1974.77"/>
    <s v="233.43"/>
    <n v="680"/>
    <s v="NÃO LOCALIZADO"/>
    <s v="TELEFONES SEM ATENDIMENTO"/>
    <n v="0"/>
    <x v="1"/>
    <s v="15.49"/>
    <s v="gleise"/>
    <s v="Acima de 361"/>
    <s v="ACIONAMENTO"/>
    <x v="0"/>
  </r>
  <r>
    <s v="COGECOM"/>
    <n v="3001283052"/>
    <s v="URSULA AGUEDA ROCHA E RAMOS MAZZEI"/>
    <s v="OUT"/>
    <s v="OUTROS"/>
    <n v="57244065604"/>
    <x v="0"/>
    <s v="247.79"/>
    <s v="74.70"/>
    <n v="181"/>
    <s v="NÃO LOCALIZADO"/>
    <s v="TELEFONES SEM ATENDIMENTO"/>
    <n v="0"/>
    <x v="1"/>
    <s v="15.50"/>
    <s v="gleise"/>
    <s v="181 a 360"/>
    <s v="ACIONAMENTO"/>
    <x v="0"/>
  </r>
  <r>
    <s v="COGECOM"/>
    <n v="10007651595"/>
    <s v="MARIA JOSE SILVA MORAES"/>
    <s v="OUT"/>
    <s v="OUTROS"/>
    <n v="59764724191"/>
    <x v="0"/>
    <s v="291.52"/>
    <s v="26.62"/>
    <n v="161"/>
    <s v="SEM INTERESSE"/>
    <s v="NEGOCIAÇÃO VIA TELEFONE"/>
    <n v="0"/>
    <x v="1"/>
    <s v="15.53"/>
    <s v="gleise"/>
    <s v="91 a 180"/>
    <s v="CPC"/>
    <x v="1"/>
  </r>
  <r>
    <s v="COGECOM"/>
    <n v="20317128"/>
    <s v="OSTERNO MOREIRA PINTO"/>
    <s v="OUT"/>
    <s v="OUTROS"/>
    <n v="63298503134"/>
    <x v="0"/>
    <s v="536.59"/>
    <s v="106.42"/>
    <n v="160"/>
    <s v="AG RESPOSTA 1º CONTATO"/>
    <s v="GERAÇÃO DE ACORDO"/>
    <n v="7"/>
    <x v="1"/>
    <s v="9.39"/>
    <s v="l.quadros"/>
    <s v="91 a 180"/>
    <s v="CPC"/>
    <x v="4"/>
  </r>
  <r>
    <s v="COGECOM"/>
    <n v="3081934245"/>
    <s v="ADRIANA WOLFF"/>
    <s v="OUT"/>
    <s v="OUTROS"/>
    <n v="763145025"/>
    <x v="0"/>
    <s v="574.91"/>
    <s v="214.81"/>
    <n v="186"/>
    <s v="NÃO LOCALIZADO"/>
    <s v="TELEFONES SEM ATENDIMENTO"/>
    <n v="0"/>
    <x v="1"/>
    <s v="15.54"/>
    <s v="gleise"/>
    <s v="181 a 360"/>
    <s v="ACIONAMENTO"/>
    <x v="0"/>
  </r>
  <r>
    <s v="COGECOM"/>
    <n v="3092813066"/>
    <s v="FABIANO CORDOVA"/>
    <s v="OUT"/>
    <s v="OUTROS"/>
    <n v="226559050"/>
    <x v="0"/>
    <s v="300.46"/>
    <s v="300.46"/>
    <n v="174"/>
    <s v="NÃO LOCALIZADO"/>
    <s v="TELEFONES SEM ATENDIMENTO"/>
    <n v="0"/>
    <x v="1"/>
    <s v="10.13"/>
    <s v="gleise"/>
    <s v="91 a 180"/>
    <s v="ACIONAMENTO"/>
    <x v="0"/>
  </r>
  <r>
    <s v="COGECOM"/>
    <n v="47846978"/>
    <s v="GEAN SENS"/>
    <s v="OUT"/>
    <s v="OUTROS"/>
    <n v="1763621936"/>
    <x v="0"/>
    <s v="568.74"/>
    <s v="150.19"/>
    <n v="162"/>
    <s v="NÃO LOCALIZADO"/>
    <s v="TELEFONES SEM ATENDIMENTO"/>
    <n v="0"/>
    <x v="1"/>
    <s v="11.52"/>
    <s v="gleise"/>
    <s v="91 a 180"/>
    <s v="ACIONAMENTO"/>
    <x v="0"/>
  </r>
  <r>
    <s v="COGECOM"/>
    <n v="52758882"/>
    <s v="GILSON FIORINI CORDEIRO"/>
    <s v="OUT"/>
    <s v="OUTROS"/>
    <n v="19993054852"/>
    <x v="0"/>
    <s v="263.57"/>
    <s v="168.65"/>
    <n v="151"/>
    <s v="NÃO LOCALIZADO"/>
    <s v="TELEFONES SEM ATENDIMENTO"/>
    <n v="0"/>
    <x v="1"/>
    <s v="15.55"/>
    <s v="gleise"/>
    <s v="91 a 180"/>
    <s v="ACIONAMENTO"/>
    <x v="0"/>
  </r>
  <r>
    <s v="COGECOM"/>
    <n v="92286690"/>
    <s v="CHARLES MUNIZ"/>
    <s v="OUT"/>
    <s v="OUTROS"/>
    <n v="2802478931"/>
    <x v="0"/>
    <s v="656.50"/>
    <s v="147.99"/>
    <n v="151"/>
    <s v="NÃO LOCALIZADO"/>
    <s v="TELEFONES SEM ATENDIMENTO"/>
    <n v="0"/>
    <x v="1"/>
    <s v="15.55"/>
    <s v="gleise"/>
    <s v="91 a 180"/>
    <s v="ACIONAMENTO"/>
    <x v="0"/>
  </r>
  <r>
    <s v="COGECOM"/>
    <n v="82133620"/>
    <s v="ROSILENE DE PAULA SALOMAO"/>
    <s v="OUT"/>
    <s v="OUTROS"/>
    <n v="1669951936"/>
    <x v="0"/>
    <s v="4358.74"/>
    <s v="866.62"/>
    <n v="444"/>
    <s v="NÃO LOCALIZADO"/>
    <s v="TELEFONES SEM ATENDIMENTO"/>
    <n v="0"/>
    <x v="1"/>
    <s v="15.56"/>
    <s v="gleise"/>
    <s v="Acima de 361"/>
    <s v="ACIONAMENTO"/>
    <x v="0"/>
  </r>
  <r>
    <s v="COGECOM"/>
    <n v="101822065"/>
    <s v="AILTON VESTEWIG"/>
    <s v="OUT"/>
    <s v="OUTROS"/>
    <n v="2604083957"/>
    <x v="0"/>
    <s v="4439.92"/>
    <s v="407.55"/>
    <n v="192"/>
    <s v="NÃO LOCALIZADO"/>
    <s v="TELEFONES SEM ATENDIMENTO"/>
    <n v="0"/>
    <x v="1"/>
    <s v="14.21"/>
    <s v="gleise"/>
    <s v="181 a 360"/>
    <s v="ACIONAMENTO"/>
    <x v="0"/>
  </r>
  <r>
    <s v="COGECOM"/>
    <n v="3000052650"/>
    <s v="CASSIA FREITAS RODRIGUES"/>
    <s v="OUT"/>
    <s v="OUTROS"/>
    <n v="76950042604"/>
    <x v="0"/>
    <s v="337.08"/>
    <s v="196.77"/>
    <n v="190"/>
    <s v="SEM INTERESSE"/>
    <s v="NEGOCIAÇÃO VIA TELEFONE"/>
    <n v="0"/>
    <x v="1"/>
    <s v="11.03"/>
    <s v="gleise"/>
    <s v="181 a 360"/>
    <s v="CPC"/>
    <x v="1"/>
  </r>
  <r>
    <s v="COGECOM"/>
    <n v="3013421483"/>
    <s v="FRANCIELE SOARES DOS SANTOS"/>
    <s v="OUT"/>
    <s v="OUTROS"/>
    <n v="13655294603"/>
    <x v="0"/>
    <s v="287.30"/>
    <s v="128.11"/>
    <n v="154"/>
    <s v="NÃO LOCALIZADO"/>
    <s v="TELEFONES SEM ATENDIMENTO"/>
    <n v="0"/>
    <x v="1"/>
    <s v="11.56"/>
    <s v="gleise"/>
    <s v="91 a 180"/>
    <s v="ACIONAMENTO"/>
    <x v="0"/>
  </r>
  <r>
    <s v="COGECOM"/>
    <n v="3002024421"/>
    <s v="ALIPIO GOMES"/>
    <s v="OUT"/>
    <s v="OUTROS"/>
    <n v="15377636600"/>
    <x v="0"/>
    <s v="299.74"/>
    <s v="54.87"/>
    <n v="160"/>
    <s v="NÃO LOCALIZADO"/>
    <s v="TELEFONES SEM ATENDIMENTO"/>
    <n v="0"/>
    <x v="1"/>
    <s v="15.57"/>
    <s v="gleise"/>
    <s v="91 a 180"/>
    <s v="ACIONAMENTO"/>
    <x v="0"/>
  </r>
  <r>
    <s v="COGECOM"/>
    <n v="3011952503"/>
    <s v="GRACILENE MOURA CRUZ"/>
    <s v="OUT"/>
    <s v="OUTROS"/>
    <n v="9152000664"/>
    <x v="0"/>
    <s v="333.78"/>
    <s v="63.18"/>
    <n v="160"/>
    <s v="NÃO LOCALIZADO"/>
    <s v="TELEFONES SEM ATENDIMENTO"/>
    <n v="0"/>
    <x v="1"/>
    <s v="11.14"/>
    <s v="gleise"/>
    <s v="91 a 180"/>
    <s v="ACIONAMENTO"/>
    <x v="0"/>
  </r>
  <r>
    <s v="COGECOM"/>
    <n v="3012984153"/>
    <s v="RENILDA MARGARIDA MUNIZ"/>
    <s v="OUT"/>
    <s v="OUTROS"/>
    <n v="34999833620"/>
    <x v="0"/>
    <s v="421.55"/>
    <s v="105.07"/>
    <n v="160"/>
    <s v="SEM INTERESSE"/>
    <s v="NEGOCIAÇÃO VIA TELEFONE"/>
    <n v="0"/>
    <x v="1"/>
    <s v="16.03"/>
    <s v="gleise"/>
    <s v="91 a 180"/>
    <s v="CPC"/>
    <x v="1"/>
  </r>
  <r>
    <s v="COGECOM"/>
    <n v="3000226816"/>
    <s v="CARLOS DE OLIVEIRA LOPES"/>
    <s v="OUT"/>
    <s v="OUTROS"/>
    <n v="25155083672"/>
    <x v="0"/>
    <s v="303.36"/>
    <s v="71.50"/>
    <n v="160"/>
    <s v="NÃO LOCALIZADO"/>
    <s v="TELEFONES SEM ATENDIMENTO"/>
    <n v="0"/>
    <x v="1"/>
    <s v="13.21"/>
    <s v="gleise"/>
    <s v="91 a 180"/>
    <s v="ACIONAMENTO"/>
    <x v="0"/>
  </r>
  <r>
    <s v="COGECOM"/>
    <n v="3003929285"/>
    <s v="MARIA APARECIDA BORGES"/>
    <s v="OUT"/>
    <s v="OUTROS"/>
    <n v="93570856615"/>
    <x v="0"/>
    <s v="991.03"/>
    <s v="227.34"/>
    <n v="156"/>
    <s v="NÃO LOCALIZADO"/>
    <s v="TELEFONES SEM ATENDIMENTO"/>
    <n v="0"/>
    <x v="1"/>
    <s v="10.59"/>
    <s v="gleise"/>
    <s v="91 a 180"/>
    <s v="ACIONAMENTO"/>
    <x v="0"/>
  </r>
  <r>
    <s v="COGECOM"/>
    <n v="88610071"/>
    <s v="ODAIR JOSE SUBTIL"/>
    <s v="OUT"/>
    <s v="OUTROS"/>
    <n v="2002222959"/>
    <x v="0"/>
    <s v="20301.73"/>
    <s v="5026.09"/>
    <n v="123"/>
    <s v="AG RESPOSTA 1º CONTATO"/>
    <s v="ENVIADO MSG/E-MAIL 1º CONTATO"/>
    <n v="0"/>
    <x v="1"/>
    <s v="11.40"/>
    <s v="l.quadros"/>
    <s v="91 a 180"/>
    <s v="ACIONAMENTO"/>
    <x v="4"/>
  </r>
  <r>
    <s v="COGECOM"/>
    <n v="31464815"/>
    <s v="RAFAEL CLAUDINO DA SILVEIRA SILVA"/>
    <s v="OUT"/>
    <s v="OUTROS"/>
    <n v="5568908923"/>
    <x v="0"/>
    <s v="5565.35"/>
    <s v="1745.90"/>
    <n v="146"/>
    <s v="NÃO LOCALIZADO"/>
    <s v="TELEFONES SEM ATENDIMENTO"/>
    <n v="0"/>
    <x v="1"/>
    <s v="14.06"/>
    <s v="gleise"/>
    <s v="91 a 180"/>
    <s v="ACIONAMENTO"/>
    <x v="0"/>
  </r>
  <r>
    <s v="COGECOM"/>
    <n v="18849989"/>
    <s v="ERICLEIA APARECIDA CASTILHO"/>
    <s v="OUT"/>
    <s v="OUTROS"/>
    <n v="2803642964"/>
    <x v="0"/>
    <s v="8560.65"/>
    <s v="1249.49"/>
    <n v="194"/>
    <s v="NÃO LOCALIZADO"/>
    <s v="TELEFONES SEM ATENDIMENTO"/>
    <n v="0"/>
    <x v="1"/>
    <s v="16.04"/>
    <s v="gleise"/>
    <s v="181 a 360"/>
    <s v="ACIONAMENTO"/>
    <x v="0"/>
  </r>
  <r>
    <s v="COGECOM"/>
    <n v="40018083"/>
    <s v="ELCIO DE PROENÇA"/>
    <s v="OUT"/>
    <s v="OUTROS"/>
    <n v="86217879972"/>
    <x v="0"/>
    <s v="986.25"/>
    <s v="1017.37"/>
    <n v="142"/>
    <s v="NÃO LOCALIZADO"/>
    <s v="TELEFONES SEM ATENDIMENTO"/>
    <n v="0"/>
    <x v="1"/>
    <s v="14.14"/>
    <s v="gleise"/>
    <s v="91 a 180"/>
    <s v="ACIONAMENTO"/>
    <x v="0"/>
  </r>
  <r>
    <s v="COGECOM"/>
    <n v="20914878"/>
    <s v="GILSON DOMINGOS DE OLIVEIRA"/>
    <s v="OUT"/>
    <s v="OUTROS"/>
    <n v="49254154172"/>
    <x v="0"/>
    <s v="6910.83"/>
    <s v="957.16"/>
    <n v="210"/>
    <s v="AG RESPOSTA 1º CONTATO"/>
    <s v="ENVIADO MSG/E-MAIL 1º CONTATO"/>
    <n v="0"/>
    <x v="1"/>
    <s v="11.45"/>
    <s v="l.quadros"/>
    <s v="181 a 360"/>
    <s v="ACIONAMENTO"/>
    <x v="4"/>
  </r>
  <r>
    <s v="COGECOM"/>
    <n v="8447837"/>
    <s v="MIKAEL GERSON KUHN"/>
    <s v="OUT"/>
    <s v="OUTROS"/>
    <n v="8244536977"/>
    <x v="0"/>
    <s v="612.69"/>
    <s v="323.88"/>
    <n v="132"/>
    <s v="NÃO LOCALIZADO"/>
    <s v="TELEFONES SEM ATENDIMENTO"/>
    <n v="0"/>
    <x v="1"/>
    <s v="10.56"/>
    <s v="gleise"/>
    <s v="91 a 180"/>
    <s v="ACIONAMENTO"/>
    <x v="0"/>
  </r>
  <r>
    <s v="COGECOM"/>
    <n v="6959172"/>
    <s v="ELITON MACHADO"/>
    <s v="OUT"/>
    <s v="OUTROS"/>
    <n v="5271253937"/>
    <x v="0"/>
    <s v="390.90"/>
    <s v="320.35"/>
    <n v="134"/>
    <s v="EM NEGOCIAÇÃO"/>
    <s v="NEGOCIAÇÃO VIA WHATSAPP"/>
    <n v="0"/>
    <x v="1"/>
    <s v="13.17"/>
    <s v="l.quadros"/>
    <s v="91 a 180"/>
    <s v="CPC"/>
    <x v="2"/>
  </r>
  <r>
    <s v="COGECOM"/>
    <n v="89590988"/>
    <s v="WAGNER DE SOUZA OLIVEIRA"/>
    <s v="OUT"/>
    <s v="OUTROS"/>
    <n v="582290945"/>
    <x v="0"/>
    <s v="596.71"/>
    <s v="317.25"/>
    <n v="137"/>
    <s v="NÃO LOCALIZADO"/>
    <s v="TELEFONES SEM ATENDIMENTO"/>
    <n v="0"/>
    <x v="1"/>
    <s v="16.05"/>
    <s v="gleise"/>
    <s v="91 a 180"/>
    <s v="ACIONAMENTO"/>
    <x v="0"/>
  </r>
  <r>
    <s v="COGECOM"/>
    <n v="15920586"/>
    <s v="CARLOS ROBERTO DE JESUS"/>
    <s v="OUT"/>
    <s v="OUTROS"/>
    <n v="23333499134"/>
    <x v="0"/>
    <s v="524.31"/>
    <s v="289.18"/>
    <n v="148"/>
    <s v="AG RESPOSTA 1º CONTATO"/>
    <s v="ENVIADO MSG/E-MAIL 1º CONTATO"/>
    <n v="0"/>
    <x v="1"/>
    <s v="15.59"/>
    <s v="l.quadros"/>
    <s v="91 a 180"/>
    <s v="ACIONAMENTO"/>
    <x v="4"/>
  </r>
  <r>
    <s v="COGECOM"/>
    <n v="94785562"/>
    <s v="DANIELLA APARECIDA CHEM DE SOUZA"/>
    <s v="OUT"/>
    <s v="OUTROS"/>
    <n v="5384738944"/>
    <x v="0"/>
    <s v="462.07"/>
    <s v="219.62"/>
    <n v="134"/>
    <s v="NÃO LOCALIZADO"/>
    <s v="TELEFONES SEM ATENDIMENTO"/>
    <n v="0"/>
    <x v="1"/>
    <s v="16.06"/>
    <s v="gleise"/>
    <s v="91 a 180"/>
    <s v="ACIONAMENTO"/>
    <x v="0"/>
  </r>
  <r>
    <s v="COGECOM"/>
    <n v="106389351"/>
    <s v="CATIANE COSTA MARTINI"/>
    <s v="OUT"/>
    <s v="OUTROS"/>
    <n v="5647412998"/>
    <x v="0"/>
    <s v="551.58"/>
    <s v="196.99"/>
    <n v="137"/>
    <s v="NÃO LOCALIZADO"/>
    <s v="TELEFONES SEM ATENDIMENTO"/>
    <n v="0"/>
    <x v="1"/>
    <s v="16.06"/>
    <s v="gleise"/>
    <s v="91 a 180"/>
    <s v="ACIONAMENTO"/>
    <x v="0"/>
  </r>
  <r>
    <s v="COGECOM"/>
    <n v="10020098977"/>
    <s v="UEIDES BATISTA ALVES"/>
    <s v="OUT"/>
    <s v="OUTROS"/>
    <n v="277125162"/>
    <x v="0"/>
    <s v="509.27"/>
    <s v="167.58"/>
    <n v="148"/>
    <s v="AG RESPOSTA 1º CONTATO"/>
    <s v="ENVIADO MSG/E-MAIL 1º CONTATO"/>
    <n v="0"/>
    <x v="1"/>
    <s v="16.37"/>
    <s v="l.quadros"/>
    <s v="91 a 180"/>
    <s v="ACIONAMENTO"/>
    <x v="4"/>
  </r>
  <r>
    <s v="COGECOM"/>
    <n v="94404909"/>
    <s v="JEFFERSON CALIXTO JORDAO"/>
    <s v="OUT"/>
    <s v="OUTROS"/>
    <n v="90404939953"/>
    <x v="0"/>
    <s v="297.04"/>
    <s v="161.09"/>
    <n v="135"/>
    <s v="NÃO LOCALIZADO"/>
    <s v="TELEFONES SEM ATENDIMENTO"/>
    <n v="0"/>
    <x v="1"/>
    <s v="10.22"/>
    <s v="gleise"/>
    <s v="91 a 180"/>
    <s v="ACIONAMENTO"/>
    <x v="0"/>
  </r>
  <r>
    <s v="COGECOM"/>
    <n v="400044936"/>
    <s v="MERCIA CORO DE FREITAS"/>
    <s v="OUT"/>
    <s v="OUTROS"/>
    <n v="62360590120"/>
    <x v="0"/>
    <s v="255.46"/>
    <s v="140.48"/>
    <n v="148"/>
    <s v="NÃO LOCALIZADO"/>
    <s v="TELEFONES SEM ATENDIMENTO"/>
    <n v="0"/>
    <x v="1"/>
    <s v="11.07"/>
    <s v="gleise"/>
    <s v="91 a 180"/>
    <s v="ACIONAMENTO"/>
    <x v="0"/>
  </r>
  <r>
    <s v="COGECOM"/>
    <n v="349437"/>
    <s v="ANDRE BAZAM"/>
    <s v="OUT"/>
    <s v="OUTROS"/>
    <n v="6861566926"/>
    <x v="0"/>
    <s v="86.72"/>
    <s v="121.74"/>
    <n v="130"/>
    <s v="NÃO LOCALIZADO"/>
    <s v="TELEFONES SEM ATENDIMENTO"/>
    <n v="0"/>
    <x v="1"/>
    <s v="16.07"/>
    <s v="gleise"/>
    <s v="91 a 180"/>
    <s v="ACIONAMENTO"/>
    <x v="0"/>
  </r>
  <r>
    <s v="COGECOM"/>
    <n v="3012079953"/>
    <s v="ANGELA DE SOUZA"/>
    <s v="OUT"/>
    <s v="OUTROS"/>
    <n v="91834929687"/>
    <x v="0"/>
    <s v="193.18"/>
    <s v="89.03"/>
    <n v="150"/>
    <s v="SEM INTERESSE"/>
    <s v="NEGOCIAÇÃO VIA TELEFONE"/>
    <n v="0"/>
    <x v="1"/>
    <s v="16.11"/>
    <s v="gleise"/>
    <s v="91 a 180"/>
    <s v="CPC"/>
    <x v="1"/>
  </r>
  <r>
    <s v="COGECOM"/>
    <n v="107605740"/>
    <s v="ELAN PEREIRA DE ARAUJO"/>
    <s v="OUT"/>
    <s v="OUTROS"/>
    <n v="7596172954"/>
    <x v="0"/>
    <s v="301.57"/>
    <s v="86.81"/>
    <n v="132"/>
    <s v="NÃO LOCALIZADO"/>
    <s v="TELEFONES SEM ATENDIMENTO"/>
    <n v="0"/>
    <x v="1"/>
    <s v="10.42"/>
    <s v="gleise"/>
    <s v="91 a 180"/>
    <s v="ACIONAMENTO"/>
    <x v="0"/>
  </r>
  <r>
    <s v="COGECOM"/>
    <n v="10013530583"/>
    <s v="RODRIGO BARBOSA DE SOUSA"/>
    <s v="OUT"/>
    <s v="OUTROS"/>
    <n v="1989338194"/>
    <x v="0"/>
    <s v="73.29"/>
    <s v="73.29"/>
    <n v="150"/>
    <s v="NÃO LOCALIZADO"/>
    <s v="TELEFONES SEM ATENDIMENTO"/>
    <n v="0"/>
    <x v="1"/>
    <s v="10.44"/>
    <s v="gleise"/>
    <s v="91 a 180"/>
    <s v="ACIONAMENTO"/>
    <x v="0"/>
  </r>
  <r>
    <s v="COGECOM"/>
    <n v="3012659167"/>
    <s v="MARIA SUELI DA SILVA"/>
    <s v="OUT"/>
    <s v="OUTROS"/>
    <n v="5194128690"/>
    <x v="0"/>
    <s v="47.52"/>
    <s v="23.77"/>
    <n v="147"/>
    <s v="SEM INTERESSE"/>
    <s v="NEGOCIAÇÃO VIA TELEFONE"/>
    <n v="0"/>
    <x v="1"/>
    <s v="13.27"/>
    <s v="gleise"/>
    <s v="91 a 180"/>
    <s v="CPC"/>
    <x v="1"/>
  </r>
  <r>
    <s v="COGECOM"/>
    <n v="105721751"/>
    <s v="ALYSSON BARBOSA DA SILVA"/>
    <s v="OUT"/>
    <s v="OUTROS"/>
    <n v="93871880191"/>
    <x v="0"/>
    <s v="263.01"/>
    <s v="250.40"/>
    <n v="100"/>
    <s v="SEM INTERESSE"/>
    <s v="NEGOCIAÇÃO VIA TELEFONE"/>
    <n v="0"/>
    <x v="1"/>
    <s v="16.15"/>
    <s v="gleise"/>
    <s v="91 a 180"/>
    <s v="CPC"/>
    <x v="1"/>
  </r>
  <r>
    <s v="COGECOM"/>
    <n v="94345848"/>
    <s v="ROMILDO HENRIQUE GOMES"/>
    <s v="OUT"/>
    <s v="OUTROS"/>
    <n v="82861374934"/>
    <x v="0"/>
    <s v="296.80"/>
    <s v="296.80"/>
    <n v="94"/>
    <s v="NÃO LOCALIZADO"/>
    <s v="TELEFONES SEM ATENDIMENTO"/>
    <n v="0"/>
    <x v="1"/>
    <s v="16.17"/>
    <s v="gleise"/>
    <s v="91 a 180"/>
    <s v="ACIONAMENTO"/>
    <x v="0"/>
  </r>
  <r>
    <s v="COGECOM"/>
    <n v="105702420"/>
    <s v="ISRAEL FRANK PEREIRA DE AGUIAR"/>
    <s v="OUT"/>
    <s v="OUTROS"/>
    <n v="33024752846"/>
    <x v="0"/>
    <s v="143.32"/>
    <s v="143.32"/>
    <n v="143"/>
    <s v="NÃO LOCALIZADO"/>
    <s v="TELEFONES SEM ATENDIMENTO"/>
    <n v="0"/>
    <x v="1"/>
    <s v="16.19"/>
    <s v="gleise"/>
    <s v="91 a 180"/>
    <s v="ACIONAMENTO"/>
    <x v="0"/>
  </r>
  <r>
    <s v="COGECOM"/>
    <n v="45123683"/>
    <s v="APARECIDA OLIVEIRA MIGUEL DE CARVALHO"/>
    <s v="OUT"/>
    <s v="OUTROS"/>
    <n v="7826012945"/>
    <x v="0"/>
    <s v="83.36"/>
    <s v="83.36"/>
    <n v="133"/>
    <s v="NÃO LOCALIZADO"/>
    <s v="TELEFONES SEM ATENDIMENTO"/>
    <n v="0"/>
    <x v="1"/>
    <s v="16.19"/>
    <s v="gleise"/>
    <s v="91 a 180"/>
    <s v="ACIONAMENTO"/>
    <x v="0"/>
  </r>
  <r>
    <s v="COGECOM"/>
    <n v="3000648736"/>
    <s v="LIZANDRO MAURILIO DE OLIVEIRA"/>
    <s v="OUT"/>
    <s v="OUTROS"/>
    <n v="12342939604"/>
    <x v="0"/>
    <s v="880.06"/>
    <s v="132.44"/>
    <n v="150"/>
    <s v="NÃO LOCALIZADO"/>
    <s v="TELEFONES SEM ATENDIMENTO"/>
    <n v="0"/>
    <x v="1"/>
    <s v="16.21"/>
    <s v="gleise"/>
    <s v="91 a 180"/>
    <s v="ACIONAMENTO"/>
    <x v="0"/>
  </r>
  <r>
    <s v="COGECOM"/>
    <n v="82435618"/>
    <s v="SALETE VALSI MAGRINI"/>
    <s v="OUT"/>
    <s v="OUTROS"/>
    <n v="54382602904"/>
    <x v="0"/>
    <s v="4921.87"/>
    <s v="1214.26"/>
    <n v="138"/>
    <s v="NÃO LOCALIZADO"/>
    <s v="TELEFONES SEM ATENDIMENTO"/>
    <n v="0"/>
    <x v="1"/>
    <s v="16.22"/>
    <s v="gleise"/>
    <s v="91 a 180"/>
    <s v="ACIONAMENTO"/>
    <x v="0"/>
  </r>
  <r>
    <s v="COGECOM"/>
    <n v="43064671"/>
    <s v="GERSON LINS RODRIGUES"/>
    <s v="OUT"/>
    <s v="OUTROS"/>
    <n v="93489234987"/>
    <x v="0"/>
    <s v="250.08"/>
    <s v="136.58"/>
    <n v="113"/>
    <s v="AG RESPOSTA 1º CONTATO"/>
    <s v="ENVIADO MSG/E-MAIL 1º CONTATO"/>
    <n v="0"/>
    <x v="1"/>
    <s v="16.44"/>
    <s v="l.quadros"/>
    <s v="91 a 180"/>
    <s v="ACIONAMENTO"/>
    <x v="4"/>
  </r>
  <r>
    <s v="COGECOM"/>
    <n v="30571880"/>
    <s v="ARISTIDES DOS SANTOS JUNIOR"/>
    <s v="OUT"/>
    <s v="OUTROS"/>
    <n v="26920678861"/>
    <x v="0"/>
    <s v="703.98"/>
    <s v="703.98"/>
    <n v="132"/>
    <s v="NÃO LOCALIZADO"/>
    <s v="TELEFONES SEM ATENDIMENTO"/>
    <n v="0"/>
    <x v="1"/>
    <s v="16.26"/>
    <s v="gleise"/>
    <s v="91 a 180"/>
    <s v="ACIONAMENTO"/>
    <x v="0"/>
  </r>
  <r>
    <s v="COGECOM"/>
    <n v="27397476"/>
    <s v="JULIANE DE SOUZA LUMERTZ"/>
    <s v="OUT"/>
    <s v="OUTROS"/>
    <n v="3491448930"/>
    <x v="0"/>
    <s v="269.82"/>
    <s v="110.96"/>
    <n v="127"/>
    <s v="SEM INTERESSE"/>
    <s v="NEGOCIAÇÃO VIA TELEFONE"/>
    <n v="0"/>
    <x v="1"/>
    <s v="16.30"/>
    <s v="gleise"/>
    <s v="91 a 180"/>
    <s v="CPC"/>
    <x v="1"/>
  </r>
  <r>
    <s v="COGECOM"/>
    <n v="58790136"/>
    <s v="OLGA DO ROCIO PANSOLIN"/>
    <s v="OUT"/>
    <s v="OUTROS"/>
    <n v="3783125960"/>
    <x v="0"/>
    <s v="3134.12"/>
    <s v="1847.16"/>
    <n v="113"/>
    <s v="NÃO LOCALIZADO"/>
    <s v="TELEFONES SEM ATENDIMENTO"/>
    <n v="0"/>
    <x v="1"/>
    <s v="11.25"/>
    <s v="gleise"/>
    <s v="91 a 180"/>
    <s v="ACIONAMENTO"/>
    <x v="0"/>
  </r>
  <r>
    <s v="COGECOM"/>
    <n v="3013266521"/>
    <s v="CESAR LUIS RAIMUNDO"/>
    <s v="OUT"/>
    <s v="OUTROS"/>
    <n v="69054177691"/>
    <x v="0"/>
    <s v="194.67"/>
    <s v="105.70"/>
    <n v="73"/>
    <s v="NÃO LOCALIZADO"/>
    <s v="TELEFONES SEM ATENDIMENTO"/>
    <n v="0"/>
    <x v="1"/>
    <s v="16.31"/>
    <s v="gleise"/>
    <s v="61 a 90"/>
    <s v="ACIONAMENTO"/>
    <x v="0"/>
  </r>
  <r>
    <s v="COGECOM"/>
    <n v="20241365"/>
    <s v="DANIEL DE OLIVEIRA"/>
    <s v="OUT"/>
    <s v="OUTROS"/>
    <n v="477332099"/>
    <x v="0"/>
    <s v="68.93"/>
    <s v="68.93"/>
    <n v="73"/>
    <s v="NÃO LOCALIZADO"/>
    <s v="TELEFONES SEM ATENDIMENTO"/>
    <n v="0"/>
    <x v="1"/>
    <s v="16.32"/>
    <s v="gleise"/>
    <s v="61 a 90"/>
    <s v="ACIONAMENTO"/>
    <x v="0"/>
  </r>
  <r>
    <s v="COGECOM"/>
    <n v="3091784255"/>
    <s v="DIEGO RICCI"/>
    <s v="OUT"/>
    <s v="OUTROS"/>
    <n v="98051792068"/>
    <x v="0"/>
    <s v="47.94"/>
    <s v="47.94"/>
    <n v="73"/>
    <s v="NÃO LOCALIZADO"/>
    <s v="TELEFONES SEM ATENDIMENTO"/>
    <n v="0"/>
    <x v="1"/>
    <s v="16.33"/>
    <s v="gleise"/>
    <s v="61 a 90"/>
    <s v="ACIONAMENTO"/>
    <x v="0"/>
  </r>
  <r>
    <s v="COGECOM"/>
    <n v="4002968816"/>
    <s v="DOUGLAS ALVES ALEXANDRE"/>
    <s v="OUT"/>
    <s v="OUTROS"/>
    <n v="4153941042"/>
    <x v="0"/>
    <s v="901.65"/>
    <s v="411.22"/>
    <n v="76"/>
    <s v="EM NEGOCIAÇÃO"/>
    <s v="GERAÇÃO DE ACORDO"/>
    <n v="20"/>
    <x v="1"/>
    <s v="9.29"/>
    <s v="gleise"/>
    <s v="61 a 90"/>
    <s v="CPC"/>
    <x v="2"/>
  </r>
  <r>
    <s v="COGECOM"/>
    <n v="90437101"/>
    <s v="EDINEY GIORDANI SPELIER"/>
    <s v="OUT"/>
    <s v="OUTROS"/>
    <n v="2679297903"/>
    <x v="0"/>
    <s v="267.20"/>
    <s v="205.84"/>
    <n v="78"/>
    <s v="NÃO LOCALIZADO"/>
    <s v="TELEFONES SEM ATENDIMENTO"/>
    <n v="0"/>
    <x v="1"/>
    <s v="16.33"/>
    <s v="gleise"/>
    <s v="61 a 90"/>
    <s v="ACIONAMENTO"/>
    <x v="0"/>
  </r>
  <r>
    <s v="COGECOM"/>
    <n v="30358139"/>
    <s v="FABIANO NARCIZO"/>
    <s v="OUT"/>
    <s v="OUTROS"/>
    <n v="4468291966"/>
    <x v="0"/>
    <s v="77.20"/>
    <s v="2.48"/>
    <n v="80"/>
    <s v="NÃO LOCALIZADO"/>
    <s v="TELEFONES SEM ATENDIMENTO"/>
    <n v="0"/>
    <x v="1"/>
    <s v="16.34"/>
    <s v="gleise"/>
    <s v="61 a 90"/>
    <s v="ACIONAMENTO"/>
    <x v="0"/>
  </r>
  <r>
    <s v="COGECOM"/>
    <n v="3095506686"/>
    <s v="FERNANDO TOIGO LAZZARETTI"/>
    <s v="OUT"/>
    <s v="OUTROS"/>
    <n v="270961062"/>
    <x v="0"/>
    <s v="140.54"/>
    <s v="99.05"/>
    <n v="76"/>
    <s v="NÃO LOCALIZADO"/>
    <s v="TELEFONES SEM ATENDIMENTO"/>
    <n v="0"/>
    <x v="1"/>
    <s v="16.35"/>
    <s v="gleise"/>
    <s v="61 a 90"/>
    <s v="ACIONAMENTO"/>
    <x v="0"/>
  </r>
  <r>
    <s v="COGECOM"/>
    <n v="86081314"/>
    <s v="GIUVANE CONTI"/>
    <s v="OUT"/>
    <s v="OUTROS"/>
    <n v="5409938917"/>
    <x v="0"/>
    <s v="260.26"/>
    <s v="260.26"/>
    <n v="78"/>
    <s v="NÃO LOCALIZADO"/>
    <s v="TELEFONES SEM ATENDIMENTO"/>
    <n v="0"/>
    <x v="1"/>
    <s v="16.36"/>
    <s v="gleise"/>
    <s v="61 a 90"/>
    <s v="ACIONAMENTO"/>
    <x v="0"/>
  </r>
  <r>
    <s v="COGECOM"/>
    <n v="25874838"/>
    <s v="ILANA PCHARA GUTIERREZ"/>
    <s v="OUT"/>
    <s v="OUTROS"/>
    <n v="1571107029"/>
    <x v="1"/>
    <s v="0.00"/>
    <s v="425.17"/>
    <n v="77"/>
    <s v="SEM INTERESSE"/>
    <s v="NEGOCIAÇÃO VIA TELEFONE"/>
    <n v="0"/>
    <x v="1"/>
    <s v="16.38"/>
    <s v="gleise"/>
    <s v="61 a 90"/>
    <s v="CPC"/>
    <x v="1"/>
  </r>
  <r>
    <s v="COGECOM"/>
    <n v="28993773"/>
    <s v="JONATAS SILVA DE FREITAS PINHEIRO"/>
    <s v="OUT"/>
    <s v="OUTROS"/>
    <n v="1754673589"/>
    <x v="0"/>
    <s v="317.28"/>
    <s v="181.62"/>
    <n v="82"/>
    <s v="NÃO LOCALIZADO"/>
    <s v="TELEFONES SEM ATENDIMENTO"/>
    <n v="0"/>
    <x v="1"/>
    <s v="16.39"/>
    <s v="gleise"/>
    <s v="61 a 90"/>
    <s v="ACIONAMENTO"/>
    <x v="0"/>
  </r>
  <r>
    <s v="COGECOM"/>
    <n v="190125240"/>
    <s v="JOSE LUIS NERES DE CARVALHO"/>
    <s v="OUT"/>
    <s v="OUTROS"/>
    <n v="40511499353"/>
    <x v="0"/>
    <s v="302.03"/>
    <s v="302.03"/>
    <n v="75"/>
    <s v="SEM INTERESSE"/>
    <s v="NEGOCIAÇÃO VIA TELEFONE"/>
    <n v="0"/>
    <x v="1"/>
    <s v="16.41"/>
    <s v="gleise"/>
    <s v="61 a 90"/>
    <s v="CPC"/>
    <x v="1"/>
  </r>
  <r>
    <s v="COGECOM"/>
    <n v="10953200"/>
    <s v="KAUANN GIOVANNETTI E SILVA"/>
    <s v="OUT"/>
    <s v="OUTROS"/>
    <n v="4722504938"/>
    <x v="0"/>
    <s v="328.55"/>
    <s v="171.68"/>
    <n v="73"/>
    <s v="NÃO LOCALIZADO"/>
    <s v="TELEFONES SEM ATENDIMENTO"/>
    <n v="0"/>
    <x v="1"/>
    <s v="16.42"/>
    <s v="gleise"/>
    <s v="61 a 90"/>
    <s v="ACIONAMENTO"/>
    <x v="0"/>
  </r>
  <r>
    <s v="COGECOM"/>
    <n v="3085189649"/>
    <s v="LUANA SIEG PINTO"/>
    <s v="OUT"/>
    <s v="OUTROS"/>
    <n v="2956785001"/>
    <x v="0"/>
    <s v="187.38"/>
    <s v="147.23"/>
    <n v="84"/>
    <s v="NÃO LOCALIZADO"/>
    <s v="TELEFONES SEM ATENDIMENTO"/>
    <n v="0"/>
    <x v="1"/>
    <s v="16.43"/>
    <s v="gleise"/>
    <s v="61 a 90"/>
    <s v="ACIONAMENTO"/>
    <x v="0"/>
  </r>
  <r>
    <s v="COGECOM"/>
    <n v="82636354"/>
    <s v="LUCIANA DELFINO DE LIMA"/>
    <s v="OUT"/>
    <s v="OUTROS"/>
    <n v="3654310958"/>
    <x v="0"/>
    <s v="138.02"/>
    <s v="99.23"/>
    <n v="72"/>
    <s v="NÃO LOCALIZADO"/>
    <s v="TELEFONES SEM ATENDIMENTO"/>
    <n v="0"/>
    <x v="1"/>
    <s v="16.43"/>
    <s v="gleise"/>
    <s v="61 a 90"/>
    <s v="ACIONAMENTO"/>
    <x v="0"/>
  </r>
  <r>
    <s v="COGECOM"/>
    <n v="7565933"/>
    <s v="MANOEL CARREIRA DE SOUZA NETO"/>
    <s v="OUT"/>
    <s v="OUTROS"/>
    <n v="17293995920"/>
    <x v="0"/>
    <s v="187.35"/>
    <s v="205.05"/>
    <n v="76"/>
    <s v="NÃO LOCALIZADO"/>
    <s v="TELEFONES SEM ATENDIMENTO"/>
    <n v="0"/>
    <x v="1"/>
    <s v="16.44"/>
    <s v="gleise"/>
    <s v="61 a 90"/>
    <s v="ACIONAMENTO"/>
    <x v="0"/>
  </r>
  <r>
    <s v="COGECOM"/>
    <n v="43839748"/>
    <s v="MARISA LEAL DOS SANTOS DE MORAES"/>
    <s v="OUT"/>
    <s v="OUTROS"/>
    <n v="3738823948"/>
    <x v="0"/>
    <s v="305.43"/>
    <s v="243.20"/>
    <n v="73"/>
    <s v="NÃO LOCALIZADO"/>
    <s v="TELEFONES SEM ATENDIMENTO"/>
    <n v="0"/>
    <x v="1"/>
    <s v="16.44"/>
    <s v="gleise"/>
    <s v="61 a 90"/>
    <s v="ACIONAMENTO"/>
    <x v="0"/>
  </r>
  <r>
    <s v="COGECOM"/>
    <n v="100359337"/>
    <s v="NELSON RIBEIRO CALIXTO"/>
    <s v="OUT"/>
    <s v="OUTROS"/>
    <n v="29627026867"/>
    <x v="0"/>
    <s v="55.53"/>
    <s v="22.08"/>
    <n v="78"/>
    <s v="NÃO LOCALIZADO"/>
    <s v="TELEFONES SEM ATENDIMENTO"/>
    <n v="0"/>
    <x v="1"/>
    <s v="16.46"/>
    <s v="gleise"/>
    <s v="61 a 90"/>
    <s v="ACIONAMENTO"/>
    <x v="0"/>
  </r>
  <r>
    <s v="COGECOM"/>
    <n v="103632654"/>
    <s v="PABLO AUGUSTO RIBEIRO"/>
    <s v="OUT"/>
    <s v="OUTROS"/>
    <n v="9927010907"/>
    <x v="0"/>
    <s v="46.95"/>
    <s v="46.95"/>
    <n v="78"/>
    <s v="NÃO LOCALIZADO"/>
    <s v="TELEFONES SEM ATENDIMENTO"/>
    <n v="0"/>
    <x v="1"/>
    <s v="16.45"/>
    <s v="gleise"/>
    <s v="61 a 90"/>
    <s v="ACIONAMENTO"/>
    <x v="0"/>
  </r>
  <r>
    <s v="COGECOM"/>
    <n v="3012197982"/>
    <s v="PRISCILA DE MATOS SOARES"/>
    <s v="OUT"/>
    <s v="OUTROS"/>
    <n v="6686853607"/>
    <x v="0"/>
    <s v="121.57"/>
    <s v="57.92"/>
    <n v="72"/>
    <s v="NÃO LOCALIZADO"/>
    <s v="TELEFONES SEM ATENDIMENTO"/>
    <n v="0"/>
    <x v="1"/>
    <s v="16.47"/>
    <s v="gleise"/>
    <s v="61 a 90"/>
    <s v="ACIONAMENTO"/>
    <x v="0"/>
  </r>
  <r>
    <s v="COGECOM"/>
    <n v="73925306"/>
    <s v="ROSALI FATIMA DE QUADROS BELLO"/>
    <s v="OUT"/>
    <s v="OUTROS"/>
    <n v="75196131949"/>
    <x v="0"/>
    <s v="332.77"/>
    <s v="113.96"/>
    <n v="72"/>
    <s v="NÃO LOCALIZADO"/>
    <s v="TELEFONES SEM ATENDIMENTO"/>
    <n v="0"/>
    <x v="1"/>
    <s v="16.47"/>
    <s v="gleise"/>
    <s v="61 a 90"/>
    <s v="ACIONAMENTO"/>
    <x v="0"/>
  </r>
  <r>
    <s v="COGECOM"/>
    <n v="55953180"/>
    <s v="SHEILA MARIA SILVA RODRIGUES"/>
    <s v="OUT"/>
    <s v="OUTROS"/>
    <n v="71441093320"/>
    <x v="0"/>
    <s v="77.59"/>
    <s v="71.14"/>
    <n v="73"/>
    <s v="NÃO LOCALIZADO"/>
    <s v="TELEFONES SEM ATENDIMENTO"/>
    <n v="0"/>
    <x v="1"/>
    <s v="16.48"/>
    <s v="gleise"/>
    <s v="61 a 90"/>
    <s v="ACIONAMENTO"/>
    <x v="0"/>
  </r>
  <r>
    <s v="COGECOM"/>
    <n v="89088093"/>
    <s v="SUELY AGUIAR LUZ MATHIAS"/>
    <s v="OUT"/>
    <s v="OUTROS"/>
    <n v="6703317836"/>
    <x v="0"/>
    <s v="26.81"/>
    <s v="26.81"/>
    <n v="78"/>
    <s v="NÃO LOCALIZADO"/>
    <s v="TELEFONES SEM ATENDIMENTO"/>
    <n v="0"/>
    <x v="1"/>
    <s v="16.49"/>
    <s v="gleise"/>
    <s v="61 a 90"/>
    <s v="ACIONAMENTO"/>
    <x v="0"/>
  </r>
  <r>
    <s v="COGECOM"/>
    <n v="3010165252"/>
    <s v="TAYANE CHRISTINE MARQUES DA SILVA"/>
    <s v="OUT"/>
    <s v="OUTROS"/>
    <n v="11285116658"/>
    <x v="0"/>
    <s v="193.93"/>
    <s v="93.39"/>
    <n v="72"/>
    <s v="NÃO LOCALIZADO"/>
    <s v="TELEFONES SEM ATENDIMENTO"/>
    <n v="0"/>
    <x v="1"/>
    <s v="16.49"/>
    <s v="gleise"/>
    <s v="61 a 90"/>
    <s v="ACIONAMENTO"/>
    <x v="0"/>
  </r>
  <r>
    <s v="COGECOM"/>
    <n v="54334257"/>
    <s v="VERA DENISE BERTOLDO BARRETO"/>
    <s v="OUT"/>
    <s v="OUTROS"/>
    <n v="30368200000"/>
    <x v="0"/>
    <s v="231.62"/>
    <s v="127.94"/>
    <n v="78"/>
    <s v="NÃO LOCALIZADO"/>
    <s v="TELEFONES SEM ATENDIMENTO"/>
    <n v="0"/>
    <x v="1"/>
    <s v="16.50"/>
    <s v="gleise"/>
    <s v="61 a 90"/>
    <s v="ACIONAMENTO"/>
    <x v="0"/>
  </r>
  <r>
    <s v="COGECOM"/>
    <n v="25284976"/>
    <s v="RESTAURANTE CABRAL"/>
    <s v="OUT"/>
    <s v="OUTROS"/>
    <n v="28109686000172"/>
    <x v="0"/>
    <s v="2780.42"/>
    <s v="2780.42"/>
    <n v="69"/>
    <s v="NÃO LOCALIZADO"/>
    <s v="TELEFONES SEM ATENDIMENTO"/>
    <n v="0"/>
    <x v="1"/>
    <s v="16.51"/>
    <s v="gleise"/>
    <s v="61 a 90"/>
    <s v="ACIONAMENTO"/>
    <x v="0"/>
  </r>
  <r>
    <s v="COGECOM"/>
    <n v="53733689"/>
    <s v="HIGOR RICHARD DE FARIA"/>
    <s v="OUT"/>
    <s v="OUTROS"/>
    <n v="36404924803"/>
    <x v="0"/>
    <s v="179.77"/>
    <s v="179.77"/>
    <n v="69"/>
    <s v="NÃO LOCALIZADO"/>
    <s v="TELEFONES SEM ATENDIMENTO"/>
    <n v="0"/>
    <x v="1"/>
    <s v="16.51"/>
    <s v="gleise"/>
    <s v="61 a 90"/>
    <s v="ACIONAMENTO"/>
    <x v="0"/>
  </r>
  <r>
    <s v="COGECOM"/>
    <n v="27763286"/>
    <s v="MARCIA REGINA GOULART"/>
    <s v="OUT"/>
    <s v="OUTROS"/>
    <n v="69269556972"/>
    <x v="0"/>
    <s v="43.01"/>
    <s v="43.01"/>
    <n v="69"/>
    <s v="NÃO LOCALIZADO"/>
    <s v="TELEFONES SEM ATENDIMENTO"/>
    <n v="0"/>
    <x v="1"/>
    <s v="16.52"/>
    <s v="gleise"/>
    <s v="61 a 90"/>
    <s v="ACIONAMENTO"/>
    <x v="0"/>
  </r>
  <r>
    <s v="COGECOM"/>
    <n v="53916449"/>
    <s v="ROBSON NOEL FLORIANO"/>
    <s v="OUT"/>
    <s v="OUTROS"/>
    <n v="6137309924"/>
    <x v="0"/>
    <s v="181.98"/>
    <s v="181.98"/>
    <n v="69"/>
    <s v="NÃO LOCALIZADO"/>
    <s v="TELEFONES SEM ATENDIMENTO"/>
    <n v="0"/>
    <x v="1"/>
    <s v="16.54"/>
    <s v="gleise"/>
    <s v="61 a 90"/>
    <s v="ACIONAMENTO"/>
    <x v="0"/>
  </r>
  <r>
    <s v="COGECOM"/>
    <n v="55021082"/>
    <s v="LUCAS GIOVANE MACIEL VRENNA"/>
    <s v="OUT"/>
    <s v="OUTROS"/>
    <n v="10171466918"/>
    <x v="0"/>
    <s v="237.12"/>
    <s v="237.12"/>
    <n v="69"/>
    <s v="NÃO LOCALIZADO"/>
    <s v="TELEFONES SEM ATENDIMENTO"/>
    <n v="0"/>
    <x v="1"/>
    <s v="16.53"/>
    <s v="gleise"/>
    <s v="61 a 90"/>
    <s v="ACIONAMENTO"/>
    <x v="0"/>
  </r>
  <r>
    <s v="COGECOM"/>
    <n v="52525152"/>
    <s v="MARCELO LUIS SCHROEDER"/>
    <s v="OUT"/>
    <s v="OUTROS"/>
    <n v="72237406987"/>
    <x v="0"/>
    <s v="231.80"/>
    <s v="208.45"/>
    <n v="69"/>
    <s v="AG RESPOSTA 1º CONTATO"/>
    <s v="GERAÇÃO DE ACORDO"/>
    <n v="0"/>
    <x v="1"/>
    <s v="11.10"/>
    <s v="l.quadros"/>
    <s v="61 a 90"/>
    <s v="CPC"/>
    <x v="4"/>
  </r>
  <r>
    <s v="COGECOM"/>
    <n v="42481343"/>
    <s v="WILLAMS ALVES DA SILVA"/>
    <s v="OUT"/>
    <s v="OUTROS"/>
    <n v="70312219431"/>
    <x v="0"/>
    <s v="105.88"/>
    <s v="105.88"/>
    <n v="69"/>
    <s v="SEM INTERESSE"/>
    <s v="NEGOCIAÇÃO VIA WHATSAPP"/>
    <n v="0"/>
    <x v="1"/>
    <s v="11.07"/>
    <s v="l.quadros"/>
    <s v="61 a 90"/>
    <s v="CPC"/>
    <x v="1"/>
  </r>
  <r>
    <s v="COGECOM"/>
    <n v="46636007"/>
    <s v="IVAN CARLOS HAMES"/>
    <s v="OUT"/>
    <s v="OUTROS"/>
    <n v="648313964"/>
    <x v="0"/>
    <s v="59.01"/>
    <s v="59.01"/>
    <n v="69"/>
    <s v="SEM INTERESSE"/>
    <s v="NEGOCIAÇÃO VIA TELEFONE"/>
    <n v="0"/>
    <x v="1"/>
    <s v="16.56"/>
    <s v="gleise"/>
    <s v="61 a 90"/>
    <s v="CPC"/>
    <x v="1"/>
  </r>
  <r>
    <s v="COGECOM"/>
    <n v="1586882"/>
    <s v="GILSON CORDEIRO"/>
    <s v="OUT"/>
    <s v="OUTROS"/>
    <n v="86467883934"/>
    <x v="0"/>
    <s v="163.23"/>
    <s v="163.23"/>
    <n v="69"/>
    <s v="NÃO LOCALIZADO"/>
    <s v="TELEFONES SEM ATENDIMENTO"/>
    <n v="0"/>
    <x v="1"/>
    <s v="16.54"/>
    <s v="gleise"/>
    <s v="61 a 90"/>
    <s v="ACIONAMENTO"/>
    <x v="0"/>
  </r>
  <r>
    <s v="COGECOM"/>
    <n v="35328070"/>
    <s v="ODILIO MARCOS DE FREITAS"/>
    <s v="OUT"/>
    <s v="OUTROS"/>
    <n v="84041846900"/>
    <x v="0"/>
    <s v="154.33"/>
    <s v="165.62"/>
    <n v="56"/>
    <m/>
    <s v="SOLICITAR EXTINÇÃO DA AÇÃO"/>
    <n v="9999"/>
    <x v="1"/>
    <s v="17.00"/>
    <s v="gleise"/>
    <s v="31 a 60"/>
    <s v="ACIONAMENTO"/>
    <x v="4"/>
  </r>
  <r>
    <s v="COGECOM"/>
    <n v="84900989"/>
    <s v="LUCAS RIGO"/>
    <s v="OUT"/>
    <s v="OUTROS"/>
    <n v="9877921995"/>
    <x v="0"/>
    <s v="61.64"/>
    <s v="61.64"/>
    <n v="56"/>
    <s v="NÃO LOCALIZADO"/>
    <s v="TELEFONES SEM ATENDIMENTO"/>
    <n v="0"/>
    <x v="1"/>
    <s v="17.01"/>
    <s v="gleise"/>
    <s v="31 a 60"/>
    <s v="ACIONAMENTO"/>
    <x v="0"/>
  </r>
  <r>
    <s v="COGECOM"/>
    <n v="11141565"/>
    <s v="ANDREA PREVITALE"/>
    <s v="OUT"/>
    <s v="OUTROS"/>
    <n v="13807255850"/>
    <x v="0"/>
    <s v="100.51"/>
    <s v="117.43"/>
    <n v="86"/>
    <s v="NÃO LOCALIZADO"/>
    <s v="TELEFONES SEM ATENDIMENTO"/>
    <n v="0"/>
    <x v="1"/>
    <s v="17.02"/>
    <s v="gleise"/>
    <s v="61 a 90"/>
    <s v="ACIONAMENTO"/>
    <x v="0"/>
  </r>
  <r>
    <s v="COGECOM"/>
    <n v="3091849421"/>
    <s v="NAIR HELGA BAYER TRINDADE"/>
    <s v="OUT"/>
    <s v="OUTROS"/>
    <n v="34506241053"/>
    <x v="0"/>
    <s v="41.49"/>
    <s v="41.49"/>
    <n v="54"/>
    <s v="NÃO LOCALIZADO"/>
    <s v="TELEFONES SEM ATENDIMENTO"/>
    <n v="0"/>
    <x v="1"/>
    <s v="17.02"/>
    <s v="gleise"/>
    <s v="31 a 60"/>
    <s v="ACIONAMENTO"/>
    <x v="0"/>
  </r>
  <r>
    <s v="COGECOM"/>
    <n v="3082760230"/>
    <s v="ANDRE RICARDO TONIOLI"/>
    <s v="OUT"/>
    <s v="OUTROS"/>
    <n v="52781208000"/>
    <x v="0"/>
    <s v="94.74"/>
    <s v="94.74"/>
    <n v="52"/>
    <s v="NÃO LOCALIZADO"/>
    <s v="TELEFONES SEM ATENDIMENTO"/>
    <n v="0"/>
    <x v="1"/>
    <s v="13.04"/>
    <s v="gleise"/>
    <s v="31 a 60"/>
    <s v="ACIONAMENTO"/>
    <x v="0"/>
  </r>
  <r>
    <s v="COGECOM"/>
    <n v="10002603193"/>
    <s v="EMERSON LOPES DA SILVA"/>
    <s v="OUT"/>
    <s v="OUTROS"/>
    <n v="46781617168"/>
    <x v="0"/>
    <s v="474.52"/>
    <s v="474.52"/>
    <n v="54"/>
    <s v="SEM INTERESSE"/>
    <s v="NEGOCIAÇÃO VIA TELEFONE"/>
    <n v="0"/>
    <x v="1"/>
    <s v="17.05"/>
    <s v="gleise"/>
    <s v="31 a 60"/>
    <s v="CPC"/>
    <x v="1"/>
  </r>
  <r>
    <s v="COGECOM"/>
    <n v="41170300"/>
    <s v="MICHEL SCUTI AQUINO"/>
    <s v="OUT"/>
    <s v="OUTROS"/>
    <n v="33710374871"/>
    <x v="0"/>
    <s v="190.55"/>
    <s v="190.55"/>
    <n v="86"/>
    <s v="SEM INTERESSE"/>
    <s v="NEGOCIAÇÃO VIA TELEFONE"/>
    <n v="0"/>
    <x v="1"/>
    <s v="17.08"/>
    <s v="gleise"/>
    <s v="61 a 90"/>
    <s v="CPC"/>
    <x v="1"/>
  </r>
  <r>
    <s v="COGECOM"/>
    <n v="72222301"/>
    <s v="ROBSON CASSIO DE SOUZA"/>
    <s v="OUT"/>
    <s v="OUTROS"/>
    <n v="6884488603"/>
    <x v="0"/>
    <s v="189.76"/>
    <s v="189.76"/>
    <n v="51"/>
    <s v="NÃO LOCALIZADO"/>
    <s v="TELEFONES SEM ATENDIMENTO"/>
    <n v="0"/>
    <x v="1"/>
    <s v="17.05"/>
    <s v="gleise"/>
    <s v="31 a 60"/>
    <s v="ACIONAMENTO"/>
    <x v="0"/>
  </r>
  <r>
    <s v="COGECOM"/>
    <n v="3085058721"/>
    <s v="ANDERLEI PEREIRA"/>
    <s v="OUT"/>
    <s v="OUTROS"/>
    <n v="99032627015"/>
    <x v="0"/>
    <s v="403.90"/>
    <s v="403.90"/>
    <n v="48"/>
    <s v="NÃO LOCALIZADO"/>
    <s v="TELEFONES SEM ATENDIMENTO"/>
    <n v="0"/>
    <x v="1"/>
    <s v="17.09"/>
    <s v="gleise"/>
    <s v="31 a 60"/>
    <s v="ACIONAMENTO"/>
    <x v="0"/>
  </r>
  <r>
    <s v="COGECOM"/>
    <n v="25207114"/>
    <s v="CLAUMIR CLAUDINO DOS SANTOS"/>
    <s v="OUT"/>
    <s v="OUTROS"/>
    <n v="92101356953"/>
    <x v="0"/>
    <s v="166.18"/>
    <s v="166.18"/>
    <n v="41"/>
    <s v="NÃO LOCALIZADO"/>
    <s v="TELEFONES SEM ATENDIMENTO"/>
    <n v="0"/>
    <x v="1"/>
    <s v="14.26"/>
    <s v="gleise"/>
    <s v="31 a 60"/>
    <s v="ACIONAMENTO"/>
    <x v="0"/>
  </r>
  <r>
    <s v="COGECOM"/>
    <n v="87124815"/>
    <s v="ANA MARIA VERLIN"/>
    <s v="OUT"/>
    <s v="OUTROS"/>
    <n v="54607230944"/>
    <x v="0"/>
    <s v="81.96"/>
    <s v="81.96"/>
    <n v="46"/>
    <s v="SEM INTERESSE"/>
    <s v="NEGOCIAÇÃO VIA TELEFONE"/>
    <n v="0"/>
    <x v="1"/>
    <s v="13.06"/>
    <s v="gleise"/>
    <s v="31 a 60"/>
    <s v="CPC"/>
    <x v="1"/>
  </r>
  <r>
    <s v="COGECOM"/>
    <n v="3095493741"/>
    <s v="CENIRA PACHECO DA SILVA"/>
    <s v="OUT"/>
    <s v="OUTROS"/>
    <n v="24383210082"/>
    <x v="0"/>
    <s v="150.57"/>
    <s v="150.57"/>
    <n v="40"/>
    <s v="SEM INTERESSE"/>
    <s v="NEGOCIAÇÃO VIA WHATSAPP"/>
    <n v="0"/>
    <x v="1"/>
    <s v="9.21"/>
    <s v="l.quadros"/>
    <s v="31 a 60"/>
    <s v="CPC"/>
    <x v="1"/>
  </r>
  <r>
    <s v="COGECOM"/>
    <n v="22374612"/>
    <s v="GILMAR RAQUELLE"/>
    <s v="OUT"/>
    <s v="OUTROS"/>
    <n v="24695130220"/>
    <x v="0"/>
    <s v="1186.59"/>
    <s v="409.78"/>
    <n v="1137"/>
    <s v="NÃO LOCALIZADO"/>
    <s v="TELEFONES SEM ATENDIMENTO"/>
    <n v="0"/>
    <x v="2"/>
    <s v="9.15"/>
    <s v="gleise"/>
    <s v="Acima de 361"/>
    <s v="ACIONAMENTO"/>
    <x v="0"/>
  </r>
  <r>
    <s v="COGECOM"/>
    <n v="14811108"/>
    <s v="ADRIELY MARIA DE PAULA SANTOS"/>
    <s v="OUT"/>
    <s v="OUTROS"/>
    <n v="70056688121"/>
    <x v="0"/>
    <s v="1535.33"/>
    <s v="247.22"/>
    <n v="319"/>
    <s v="NÃO LOCALIZADO"/>
    <s v="TELEFONES SEM ATENDIMENTO"/>
    <n v="0"/>
    <x v="2"/>
    <s v="15.41"/>
    <s v="gleise"/>
    <s v="181 a 360"/>
    <s v="ACIONAMENTO"/>
    <x v="0"/>
  </r>
  <r>
    <s v="COGECOM"/>
    <n v="3095213181"/>
    <s v="ALDA BEATRIZ LEAL PERES"/>
    <s v="OUT"/>
    <s v="OUTROS"/>
    <n v="451365054"/>
    <x v="0"/>
    <s v="980.61"/>
    <s v="748.09"/>
    <n v="333"/>
    <s v="EM NEGOCIAÇÃO"/>
    <s v="NEGOCIAÇÃO VIA WHATSAPP"/>
    <n v="0"/>
    <x v="2"/>
    <s v="14.13"/>
    <s v="anakeppe"/>
    <s v="181 a 360"/>
    <s v="CPC"/>
    <x v="2"/>
  </r>
  <r>
    <s v="COGECOM"/>
    <n v="3095199379"/>
    <s v="ALEXANDRA DE CASTILHOS MOOJEN"/>
    <s v="OUT"/>
    <s v="OUTROS"/>
    <n v="1487745044"/>
    <x v="0"/>
    <s v="165.75"/>
    <s v="102.85"/>
    <n v="481"/>
    <s v="NÃO LOCALIZADO"/>
    <s v="TELEFONES SEM ATENDIMENTO"/>
    <n v="0"/>
    <x v="2"/>
    <s v="9.45"/>
    <s v="gleise"/>
    <s v="Acima de 361"/>
    <s v="ACIONAMENTO"/>
    <x v="0"/>
  </r>
  <r>
    <s v="COGECOM"/>
    <n v="47318416"/>
    <s v="ALEXANDRE LUIZ BOSCHETTI"/>
    <s v="OUT"/>
    <s v="OUTROS"/>
    <n v="10130844977"/>
    <x v="0"/>
    <s v="198.31"/>
    <s v="84.12"/>
    <n v="655"/>
    <s v="NÃO LOCALIZADO"/>
    <s v="TELEFONES SEM ATENDIMENTO"/>
    <n v="0"/>
    <x v="2"/>
    <s v="9.10"/>
    <s v="gleise"/>
    <s v="Acima de 361"/>
    <s v="ACIONAMENTO"/>
    <x v="0"/>
  </r>
  <r>
    <s v="COGECOM"/>
    <n v="110941683"/>
    <s v="ALINE STEFANY FATIMA DA SILVA"/>
    <s v="OUT"/>
    <s v="OUTROS"/>
    <n v="9830453995"/>
    <x v="0"/>
    <s v="326.95"/>
    <s v="156.58"/>
    <n v="504"/>
    <s v="NÃO LOCALIZADO"/>
    <s v="TELEFONES SEM ATENDIMENTO"/>
    <n v="0"/>
    <x v="2"/>
    <s v="11.00"/>
    <s v="gleise"/>
    <s v="Acima de 361"/>
    <s v="ACIONAMENTO"/>
    <x v="0"/>
  </r>
  <r>
    <s v="COGECOM"/>
    <n v="3014383432"/>
    <s v="AMANDA FERRAZ SAMPAIO"/>
    <s v="OUT"/>
    <s v="OUTROS"/>
    <n v="11982528630"/>
    <x v="0"/>
    <s v="1645.15"/>
    <s v="279.05"/>
    <n v="351"/>
    <s v="SEM INTERESSE"/>
    <s v="NEGOCIAÇÃO VIA TELEFONE"/>
    <n v="0"/>
    <x v="2"/>
    <s v="10.54"/>
    <s v="anakeppe"/>
    <s v="181 a 360"/>
    <s v="CPC"/>
    <x v="1"/>
  </r>
  <r>
    <s v="COGECOM"/>
    <n v="3095795879"/>
    <s v="AMARILDO DE OLIVEIRA BENITES"/>
    <s v="OUT"/>
    <s v="OUTROS"/>
    <n v="2732247006"/>
    <x v="0"/>
    <s v="711.69"/>
    <s v="226.55"/>
    <n v="334"/>
    <s v="SEM INTERESSE"/>
    <s v="NEGOCIAÇÃO VIA TELEFONE"/>
    <n v="0"/>
    <x v="2"/>
    <s v="10.55"/>
    <s v="anakeppe"/>
    <s v="181 a 360"/>
    <s v="CPC"/>
    <x v="1"/>
  </r>
  <r>
    <s v="COGECOM"/>
    <n v="3000855547"/>
    <s v="AMILTON CAMILO DA SILVEIRA"/>
    <s v="OUT"/>
    <s v="OUTROS"/>
    <n v="37565150606"/>
    <x v="0"/>
    <s v="568.83"/>
    <s v="161.86"/>
    <n v="207"/>
    <s v="AG RESPOSTA 1º CONTATO"/>
    <s v="ENVIADO MSG/E-MAIL 1º CONTATO"/>
    <n v="0"/>
    <x v="2"/>
    <s v="11.53"/>
    <s v="l.quadros"/>
    <s v="181 a 360"/>
    <s v="ACIONAMENTO"/>
    <x v="4"/>
  </r>
  <r>
    <s v="COGECOM"/>
    <n v="2680025368"/>
    <s v="ANDERSON DA COSTA"/>
    <s v="OUT"/>
    <s v="OUTROS"/>
    <n v="82575789168"/>
    <x v="0"/>
    <s v="1547.57"/>
    <s v="146.20"/>
    <n v="346"/>
    <s v="NÃO LOCALIZADO"/>
    <s v="TELEFONES SEM ATENDIMENTO"/>
    <n v="0"/>
    <x v="2"/>
    <s v="9.42"/>
    <s v="gleise"/>
    <s v="181 a 360"/>
    <s v="ACIONAMENTO"/>
    <x v="0"/>
  </r>
  <r>
    <s v="COGECOM"/>
    <n v="3090941622"/>
    <s v="ANDREIA FRAGA DA SILVA"/>
    <s v="OUT"/>
    <s v="OUTROS"/>
    <n v="63057638015"/>
    <x v="0"/>
    <s v="182.73"/>
    <s v="128.57"/>
    <n v="392"/>
    <s v="NÃO LOCALIZADO"/>
    <s v="TELEFONES SEM ATENDIMENTO"/>
    <n v="0"/>
    <x v="2"/>
    <s v="13.32"/>
    <s v="gleise"/>
    <s v="Acima de 361"/>
    <s v="ACIONAMENTO"/>
    <x v="0"/>
  </r>
  <r>
    <s v="COGECOM"/>
    <n v="83814299"/>
    <s v="ANTONIO LUCAS IURAK VIEIRA"/>
    <s v="OUT"/>
    <s v="OUTROS"/>
    <n v="9050092900"/>
    <x v="0"/>
    <s v="501.34"/>
    <s v="501.34"/>
    <n v="470"/>
    <s v="NÃO LOCALIZADO"/>
    <s v="TELEFONES SEM ATENDIMENTO"/>
    <n v="0"/>
    <x v="2"/>
    <s v="13.31"/>
    <s v="gleise"/>
    <s v="Acima de 361"/>
    <s v="ACIONAMENTO"/>
    <x v="0"/>
  </r>
  <r>
    <s v="COGECOM"/>
    <n v="10029196262"/>
    <s v="ANTONIO RODRIGUES OLIVEIRA DE SOUZA"/>
    <s v="OUT"/>
    <s v="OUTROS"/>
    <n v="131105"/>
    <x v="0"/>
    <s v="135.18"/>
    <s v="30.76"/>
    <n v="218"/>
    <s v="SEM INTERESSE"/>
    <s v="NEGOCIAÇÃO VIA TELEFONE"/>
    <n v="0"/>
    <x v="2"/>
    <s v="15.42"/>
    <s v="gleise"/>
    <s v="181 a 360"/>
    <s v="CPC"/>
    <x v="1"/>
  </r>
  <r>
    <s v="COGECOM"/>
    <n v="98830988"/>
    <s v="ARIADNI CAROLINE MAGALHAES"/>
    <s v="OUT"/>
    <s v="OUTROS"/>
    <n v="12344784985"/>
    <x v="0"/>
    <s v="67.63"/>
    <s v="67.63"/>
    <n v="265"/>
    <s v="NÃO LOCALIZADO"/>
    <s v="TELEFONES SEM ATENDIMENTO"/>
    <n v="0"/>
    <x v="2"/>
    <s v="15.43"/>
    <s v="gleise"/>
    <s v="181 a 360"/>
    <s v="ACIONAMENTO"/>
    <x v="0"/>
  </r>
  <r>
    <s v="COGECOM"/>
    <n v="50925580"/>
    <s v="ARTUR EDUARDO PRATES"/>
    <s v="OUT"/>
    <s v="OUTROS"/>
    <n v="72537159934"/>
    <x v="0"/>
    <s v="1786.56"/>
    <s v="297.45"/>
    <n v="438"/>
    <s v="SEM INTERESSE"/>
    <s v="NEGOCIAÇÃO VIA TELEFONE"/>
    <n v="0"/>
    <x v="2"/>
    <s v="11.39"/>
    <s v="gleise"/>
    <s v="Acima de 361"/>
    <s v="CPC"/>
    <x v="1"/>
  </r>
  <r>
    <s v="COGECOM"/>
    <n v="3014161908"/>
    <s v="BIANCA PARDINHO LOPES"/>
    <s v="OUT"/>
    <s v="OUTROS"/>
    <n v="12789473617"/>
    <x v="0"/>
    <s v="419.39"/>
    <s v="99.39"/>
    <n v="448"/>
    <s v="NÃO LOCALIZADO"/>
    <s v="TELEFONES SEM ATENDIMENTO"/>
    <n v="0"/>
    <x v="2"/>
    <s v="15.43"/>
    <s v="gleise"/>
    <s v="Acima de 361"/>
    <s v="ACIONAMENTO"/>
    <x v="0"/>
  </r>
  <r>
    <s v="COGECOM"/>
    <n v="10671604"/>
    <s v="BRUNA TORRES"/>
    <s v="OUT"/>
    <s v="OUTROS"/>
    <n v="53078209091"/>
    <x v="0"/>
    <s v="327.93"/>
    <s v="97.65"/>
    <n v="536"/>
    <s v="NÃO LOCALIZADO"/>
    <s v="TELEFONES SEM ATENDIMENTO"/>
    <n v="0"/>
    <x v="2"/>
    <s v="13.33"/>
    <s v="gleise"/>
    <s v="Acima de 361"/>
    <s v="ACIONAMENTO"/>
    <x v="0"/>
  </r>
  <r>
    <s v="COGECOM"/>
    <n v="10006805602"/>
    <s v="CARLOS AUGUSTO MARTINS"/>
    <s v="OUT"/>
    <s v="OUTROS"/>
    <n v="34925899104"/>
    <x v="0"/>
    <s v="142.75"/>
    <s v="131.10"/>
    <n v="307"/>
    <s v="NÃO LOCALIZADO"/>
    <s v="TELEFONES SEM ATENDIMENTO"/>
    <n v="0"/>
    <x v="2"/>
    <s v="13.34"/>
    <s v="gleise"/>
    <s v="181 a 360"/>
    <s v="ACIONAMENTO"/>
    <x v="0"/>
  </r>
  <r>
    <s v="COGECOM"/>
    <n v="3093218938"/>
    <s v="CATARINA BARROS OLIVEIRA"/>
    <s v="OUT"/>
    <s v="OUTROS"/>
    <n v="74987070049"/>
    <x v="0"/>
    <s v="712.97"/>
    <s v="202.17"/>
    <n v="269"/>
    <s v="AG RESPOSTA 1º CONTATO"/>
    <s v="ENVIADO MSG/E-MAIL 1º CONTATO"/>
    <n v="0"/>
    <x v="2"/>
    <s v="11.42"/>
    <s v="l.quadros"/>
    <s v="181 a 360"/>
    <s v="ACIONAMENTO"/>
    <x v="4"/>
  </r>
  <r>
    <s v="COGECOM"/>
    <n v="60967927"/>
    <s v="CEI CENTRO EDUCACIONAL INTEGRADO LTDA"/>
    <s v="OUT"/>
    <s v="OUTROS"/>
    <n v="79264628000405"/>
    <x v="0"/>
    <s v="115.73"/>
    <s v="356.73"/>
    <n v="261"/>
    <s v="NÃO LOCALIZADO"/>
    <s v="TELEFONES SEM ATENDIMENTO"/>
    <n v="0"/>
    <x v="2"/>
    <s v="15.44"/>
    <s v="gleise"/>
    <s v="181 a 360"/>
    <s v="ACIONAMENTO"/>
    <x v="0"/>
  </r>
  <r>
    <s v="COGECOM"/>
    <n v="3082545278"/>
    <s v="CLEBER FRANCISCO CORNELI"/>
    <s v="OUT"/>
    <s v="OUTROS"/>
    <n v="97072508015"/>
    <x v="0"/>
    <s v="1059.97"/>
    <s v="143.21"/>
    <n v="199"/>
    <s v="AG RESPOSTA 1º CONTATO"/>
    <s v="ENVIADO MSG/E-MAIL 1º CONTATO"/>
    <n v="0"/>
    <x v="2"/>
    <s v="11.56"/>
    <s v="l.quadros"/>
    <s v="181 a 360"/>
    <s v="ACIONAMENTO"/>
    <x v="4"/>
  </r>
  <r>
    <s v="COGECOM"/>
    <n v="91110238"/>
    <s v="CLEIDE APARECIDA TORRES"/>
    <s v="OUT"/>
    <s v="OUTROS"/>
    <n v="1728530954"/>
    <x v="0"/>
    <s v="211.41"/>
    <s v="211.41"/>
    <n v="1013"/>
    <s v="NÃO LOCALIZADO"/>
    <s v="TELEFONES SEM ATENDIMENTO"/>
    <n v="0"/>
    <x v="2"/>
    <s v="13.35"/>
    <s v="gleise"/>
    <s v="Acima de 361"/>
    <s v="ACIONAMENTO"/>
    <x v="0"/>
  </r>
  <r>
    <s v="COGECOM"/>
    <n v="10012935156"/>
    <s v="CLEITON CANDIDO DA SILVA"/>
    <s v="OUT"/>
    <s v="OUTROS"/>
    <n v="584903103"/>
    <x v="0"/>
    <s v="132.83"/>
    <s v="73.29"/>
    <n v="180"/>
    <s v="NÃO LOCALIZADO"/>
    <s v="TELEFONES SEM ATENDIMENTO"/>
    <n v="0"/>
    <x v="2"/>
    <s v="13.35"/>
    <s v="gleise"/>
    <s v="91 a 180"/>
    <s v="ACIONAMENTO"/>
    <x v="0"/>
  </r>
  <r>
    <s v="COGECOM"/>
    <n v="100144209"/>
    <s v="CRISTIANE MUCKE CEMIM"/>
    <s v="OUT"/>
    <s v="OUTROS"/>
    <n v="85575119904"/>
    <x v="0"/>
    <s v="497.65"/>
    <s v="142.22"/>
    <n v="191"/>
    <s v="NÃO LOCALIZADO"/>
    <s v="TELEFONES SEM ATENDIMENTO"/>
    <n v="0"/>
    <x v="2"/>
    <s v="15.45"/>
    <s v="gleise"/>
    <s v="181 a 360"/>
    <s v="ACIONAMENTO"/>
    <x v="0"/>
  </r>
  <r>
    <s v="COGECOM"/>
    <n v="96282770"/>
    <s v="CRISTIANO RODRIGO GARCIA"/>
    <s v="OUT"/>
    <s v="OUTROS"/>
    <n v="5865188941"/>
    <x v="0"/>
    <s v="1334.41"/>
    <s v="462.41"/>
    <n v="438"/>
    <s v="NÃO LOCALIZADO"/>
    <s v="TELEFONES SEM ATENDIMENTO"/>
    <n v="0"/>
    <x v="2"/>
    <s v="13.37"/>
    <s v="gleise"/>
    <s v="Acima de 361"/>
    <s v="ACIONAMENTO"/>
    <x v="0"/>
  </r>
  <r>
    <s v="COGECOM"/>
    <n v="84964278"/>
    <s v="CRISTINA MORGADO FERNANDES"/>
    <s v="OUT"/>
    <s v="OUTROS"/>
    <n v="87740478920"/>
    <x v="0"/>
    <s v="1077.91"/>
    <s v="129.17"/>
    <n v="599"/>
    <s v="NÃO LOCALIZADO"/>
    <s v="TELEFONES SEM ATENDIMENTO"/>
    <n v="0"/>
    <x v="2"/>
    <s v="13.36"/>
    <s v="gleise"/>
    <s v="Acima de 361"/>
    <s v="ACIONAMENTO"/>
    <x v="0"/>
  </r>
  <r>
    <s v="COGECOM"/>
    <n v="55965420"/>
    <s v="DANIEL ALONSO KRINAS"/>
    <s v="OUT"/>
    <s v="OUTROS"/>
    <n v="42730820809"/>
    <x v="0"/>
    <s v="296.38"/>
    <s v="47.91"/>
    <n v="151"/>
    <s v="NÃO LOCALIZADO"/>
    <s v="TELEFONES SEM ATENDIMENTO"/>
    <n v="0"/>
    <x v="2"/>
    <s v="15.46"/>
    <s v="gleise"/>
    <s v="91 a 180"/>
    <s v="ACIONAMENTO"/>
    <x v="0"/>
  </r>
  <r>
    <s v="COGECOM"/>
    <n v="49504349"/>
    <s v="DAVID DE SOUZA"/>
    <s v="OUT"/>
    <s v="OUTROS"/>
    <n v="777511916"/>
    <x v="0"/>
    <s v="1142.07"/>
    <s v="449.44"/>
    <n v="249"/>
    <s v="AG RESPOSTA 1º CONTATO"/>
    <s v="ENVIADO MSG/E-MAIL 1º CONTATO"/>
    <n v="0"/>
    <x v="2"/>
    <s v="10.43"/>
    <s v="l.quadros"/>
    <s v="181 a 360"/>
    <s v="ACIONAMENTO"/>
    <x v="4"/>
  </r>
  <r>
    <s v="COGECOM"/>
    <n v="3014269763"/>
    <s v="DAYVD FABIANO CHAGAS DE MORAIS"/>
    <s v="OUT"/>
    <s v="OUTROS"/>
    <n v="9865157608"/>
    <x v="0"/>
    <s v="453.77"/>
    <s v="66.74"/>
    <n v="219"/>
    <s v="NÃO LOCALIZADO"/>
    <s v="TELEFONES SEM ATENDIMENTO"/>
    <n v="0"/>
    <x v="2"/>
    <s v="13.38"/>
    <s v="gleise"/>
    <s v="181 a 360"/>
    <s v="ACIONAMENTO"/>
    <x v="0"/>
  </r>
  <r>
    <s v="COGECOM"/>
    <n v="109068319"/>
    <s v="DEBORA CAROLINE CASON DA COSTA"/>
    <s v="OUT"/>
    <s v="OUTROS"/>
    <n v="8607762982"/>
    <x v="0"/>
    <s v="1405.45"/>
    <s v="262.93"/>
    <n v="616"/>
    <s v="NÃO LOCALIZADO"/>
    <s v="SOLICITAR EXTINÇÃO DA AÇÃO"/>
    <n v="13"/>
    <x v="2"/>
    <s v="15.47"/>
    <s v="gleise"/>
    <s v="Acima de 361"/>
    <s v="ACIONAMENTO"/>
    <x v="0"/>
  </r>
  <r>
    <s v="COGECOM"/>
    <n v="3001129122"/>
    <s v="DIRCEU DAVID DE OLIVEIRA"/>
    <s v="OUT"/>
    <s v="OUTROS"/>
    <n v="11305878604"/>
    <x v="0"/>
    <s v="296.46"/>
    <s v="116.21"/>
    <n v="281"/>
    <s v="NÃO LOCALIZADO"/>
    <s v="TELEFONES SEM ATENDIMENTO"/>
    <n v="0"/>
    <x v="2"/>
    <s v="13.38"/>
    <s v="gleise"/>
    <s v="181 a 360"/>
    <s v="ACIONAMENTO"/>
    <x v="0"/>
  </r>
  <r>
    <s v="COGECOM"/>
    <n v="3080933128"/>
    <s v="DONIVAL CORREA BATISTA"/>
    <s v="OUT"/>
    <s v="OUTROS"/>
    <n v="62839675072"/>
    <x v="0"/>
    <s v="673.10"/>
    <s v="441.67"/>
    <n v="359"/>
    <s v="NÃO LOCALIZADO"/>
    <s v="TELEFONES SEM ATENDIMENTO"/>
    <n v="0"/>
    <x v="2"/>
    <s v="11.32"/>
    <s v="gleise"/>
    <s v="181 a 360"/>
    <s v="ACIONAMENTO"/>
    <x v="0"/>
  </r>
  <r>
    <s v="COGECOM"/>
    <n v="25172760"/>
    <s v="ECHELI FERREIRA"/>
    <s v="OUT"/>
    <s v="OUTROS"/>
    <n v="7959339910"/>
    <x v="0"/>
    <s v="229.59"/>
    <s v="84.12"/>
    <n v="689"/>
    <s v="AG RESPOSTA 1º CONTATO"/>
    <s v="ENVIADO MSG/E-MAIL 1º CONTATO"/>
    <n v="0"/>
    <x v="2"/>
    <s v="9.49"/>
    <s v="l.quadros"/>
    <s v="Acima de 361"/>
    <s v="ACIONAMENTO"/>
    <x v="4"/>
  </r>
  <r>
    <s v="COGECOM"/>
    <n v="92319904"/>
    <s v="EDSON CORREA PADILHA JUNIOR"/>
    <s v="OUT"/>
    <s v="OUTROS"/>
    <n v="6642556984"/>
    <x v="0"/>
    <s v="188.15"/>
    <s v="176.63"/>
    <n v="202"/>
    <s v="NÃO LOCALIZADO"/>
    <s v="TELEFONES SEM ATENDIMENTO"/>
    <n v="0"/>
    <x v="2"/>
    <s v="13.40"/>
    <s v="gleise"/>
    <s v="181 a 360"/>
    <s v="ACIONAMENTO"/>
    <x v="0"/>
  </r>
  <r>
    <s v="COGECOM"/>
    <n v="105112933"/>
    <s v="EDSON DOMINGOS"/>
    <s v="OUT"/>
    <s v="OUTROS"/>
    <n v="87887959934"/>
    <x v="0"/>
    <s v="1659.28"/>
    <s v="161.29"/>
    <n v="494"/>
    <s v="NÃO LOCALIZADO"/>
    <s v="TELEFONES SEM ATENDIMENTO"/>
    <n v="0"/>
    <x v="2"/>
    <s v="13.39"/>
    <s v="gleise"/>
    <s v="Acima de 361"/>
    <s v="ACIONAMENTO"/>
    <x v="0"/>
  </r>
  <r>
    <s v="COGECOM"/>
    <n v="105258172"/>
    <s v="EDUARDO CARDOSO"/>
    <s v="OUT"/>
    <s v="OUTROS"/>
    <n v="4237551962"/>
    <x v="0"/>
    <s v="545.01"/>
    <s v="272.65"/>
    <n v="357"/>
    <s v="NÃO LOCALIZADO"/>
    <s v="TELEFONES SEM ATENDIMENTO"/>
    <n v="0"/>
    <x v="2"/>
    <s v="9.34"/>
    <s v="gleise"/>
    <s v="181 a 360"/>
    <s v="ACIONAMENTO"/>
    <x v="0"/>
  </r>
  <r>
    <s v="COGECOM"/>
    <n v="109176782"/>
    <s v="ELUZA GODINHO GARCIA"/>
    <s v="OUT"/>
    <s v="OUTROS"/>
    <n v="2691294056"/>
    <x v="0"/>
    <s v="1181.44"/>
    <s v="140.62"/>
    <n v="482"/>
    <s v="SEM CONDIÇÕES"/>
    <s v="NEGOCIAÇÃO VIA TELEFONE"/>
    <n v="0"/>
    <x v="2"/>
    <s v="9.23"/>
    <s v="gleise"/>
    <s v="Acima de 361"/>
    <s v="CPC"/>
    <x v="3"/>
  </r>
  <r>
    <s v="COGECOM"/>
    <n v="6968449"/>
    <s v="ENIO MAGANELI"/>
    <s v="OUT"/>
    <s v="OUTROS"/>
    <n v="43127436068"/>
    <x v="0"/>
    <s v="542.90"/>
    <s v="256.46"/>
    <n v="595"/>
    <s v="NÃO LOCALIZADO"/>
    <s v="TELEFONES SEM ATENDIMENTO"/>
    <n v="0"/>
    <x v="2"/>
    <s v="13.41"/>
    <s v="gleise"/>
    <s v="Acima de 361"/>
    <s v="ACIONAMENTO"/>
    <x v="0"/>
  </r>
  <r>
    <s v="COGECOM"/>
    <n v="3095444999"/>
    <s v="EVERALDO CONCEICAO MACHADO"/>
    <s v="OUT"/>
    <s v="OUTROS"/>
    <n v="61072850087"/>
    <x v="0"/>
    <s v="982.51"/>
    <s v="662.50"/>
    <n v="384"/>
    <s v="SEM INTERESSE"/>
    <s v="NEGOCIAÇÃO VIA TELEFONE"/>
    <n v="0"/>
    <x v="2"/>
    <s v="14.20"/>
    <s v="anakeppe"/>
    <s v="Acima de 361"/>
    <s v="CPC"/>
    <x v="1"/>
  </r>
  <r>
    <s v="COGECOM"/>
    <n v="97897787"/>
    <s v="EVERTON FABIENSKI RIBEIRO"/>
    <s v="OUT"/>
    <s v="OUTROS"/>
    <n v="8344147913"/>
    <x v="0"/>
    <s v="132.51"/>
    <s v="107.26"/>
    <n v="191"/>
    <s v="NÃO LOCALIZADO"/>
    <s v="TELEFONES SEM ATENDIMENTO"/>
    <n v="0"/>
    <x v="2"/>
    <s v="13.41"/>
    <s v="gleise"/>
    <s v="181 a 360"/>
    <s v="ACIONAMENTO"/>
    <x v="0"/>
  </r>
  <r>
    <s v="COGECOM"/>
    <n v="86101587"/>
    <s v="FABIO PEREIRA DOS SANTOS SOUZA"/>
    <s v="OUT"/>
    <s v="OUTROS"/>
    <n v="6555028580"/>
    <x v="0"/>
    <s v="763.10"/>
    <s v="82.08"/>
    <n v="538"/>
    <s v="SEM INTERESSE"/>
    <s v="NEGOCIAÇÃO VIA TELEFONE"/>
    <n v="0"/>
    <x v="2"/>
    <s v="13.47"/>
    <s v="gleise"/>
    <s v="Acima de 361"/>
    <s v="CPC"/>
    <x v="1"/>
  </r>
  <r>
    <s v="COGECOM"/>
    <n v="4002735394"/>
    <s v="FELIPE DE LIMA PEREIRA"/>
    <s v="OUT"/>
    <s v="OUTROS"/>
    <n v="2712815025"/>
    <x v="0"/>
    <s v="292.37"/>
    <s v="205.72"/>
    <n v="390"/>
    <s v="NÃO LOCALIZADO"/>
    <s v="TELEFONES SEM ATENDIMENTO"/>
    <n v="0"/>
    <x v="2"/>
    <s v="10.56"/>
    <s v="gleise"/>
    <s v="Acima de 361"/>
    <s v="ACIONAMENTO"/>
    <x v="0"/>
  </r>
  <r>
    <s v="COGECOM"/>
    <n v="48610960"/>
    <s v="FELIPE OMAR LOSADA"/>
    <s v="OUT"/>
    <s v="OUTROS"/>
    <n v="772324964"/>
    <x v="0"/>
    <s v="177.45"/>
    <s v="196.35"/>
    <n v="204"/>
    <s v="NÃO LOCALIZADO"/>
    <s v="TELEFONES SEM ATENDIMENTO"/>
    <n v="0"/>
    <x v="2"/>
    <s v="9.37"/>
    <s v="gleise"/>
    <s v="181 a 360"/>
    <s v="ACIONAMENTO"/>
    <x v="0"/>
  </r>
  <r>
    <s v="COGECOM"/>
    <n v="3095694122"/>
    <s v="FERNANDO RENNER DOS SANTOS"/>
    <s v="OUT"/>
    <s v="OUTROS"/>
    <n v="56987218072"/>
    <x v="0"/>
    <s v="356.13"/>
    <s v="345.97"/>
    <n v="263"/>
    <s v="NÃO LOCALIZADO"/>
    <s v="TELEFONES SEM ATENDIMENTO"/>
    <n v="0"/>
    <x v="2"/>
    <s v="10.55"/>
    <s v="gleise"/>
    <s v="181 a 360"/>
    <s v="ACIONAMENTO"/>
    <x v="0"/>
  </r>
  <r>
    <s v="COGECOM"/>
    <n v="16648584"/>
    <s v="FERNANDO SOARES DA  SILVA"/>
    <s v="OUT"/>
    <s v="OUTROS"/>
    <n v="88268063149"/>
    <x v="0"/>
    <s v="2739.23"/>
    <s v="520.22"/>
    <n v="399"/>
    <s v="SEM INTERESSE"/>
    <s v="NEGOCIAÇÃO VIA TELEFONE"/>
    <n v="0"/>
    <x v="2"/>
    <s v="10.38"/>
    <s v="anakeppe"/>
    <s v="Acima de 361"/>
    <s v="CPC"/>
    <x v="1"/>
  </r>
  <r>
    <s v="COGECOM"/>
    <n v="104549718"/>
    <s v="FRANCYELLE CRISTINA DA SILVA FERREIRA"/>
    <s v="OUT"/>
    <s v="OUTROS"/>
    <n v="5404017902"/>
    <x v="0"/>
    <s v="561.91"/>
    <s v="569.46"/>
    <n v="220"/>
    <s v="AG RESPOSTA 1º CONTATO"/>
    <s v="ENVIADO MSG/E-MAIL 1º CONTATO"/>
    <n v="0"/>
    <x v="2"/>
    <s v="9.40"/>
    <s v="l.quadros"/>
    <s v="181 a 360"/>
    <s v="ACIONAMENTO"/>
    <x v="4"/>
  </r>
  <r>
    <s v="COGECOM"/>
    <n v="11385005"/>
    <s v="FRANK AURELIO SOUSA MOURA"/>
    <s v="OUT"/>
    <s v="OUTROS"/>
    <n v="95372741104"/>
    <x v="0"/>
    <s v="236.60"/>
    <s v="208.22"/>
    <n v="192"/>
    <s v="EM NEGOCIAÇÃO"/>
    <s v="NEGOCIAÇÃO VIA TELEFONE"/>
    <n v="0"/>
    <x v="2"/>
    <s v="10.19"/>
    <s v="anakeppe"/>
    <s v="181 a 360"/>
    <s v="CPC"/>
    <x v="2"/>
  </r>
  <r>
    <s v="COGECOM"/>
    <n v="23170698"/>
    <s v="GABRIEL ZENF"/>
    <s v="OUT"/>
    <s v="OUTROS"/>
    <n v="6027484969"/>
    <x v="0"/>
    <s v="205.06"/>
    <s v="102.72"/>
    <n v="386"/>
    <s v="EM NEGOCIAÇÃO"/>
    <s v="SOLICITAR EXTINÇÃO DA AÇÃO"/>
    <n v="9999"/>
    <x v="2"/>
    <s v="13.45"/>
    <s v="anakeppe"/>
    <s v="Acima de 361"/>
    <s v="ACIONAMENTO"/>
    <x v="2"/>
  </r>
  <r>
    <s v="COGECOM"/>
    <n v="1765310"/>
    <s v="GILBERTO REZENDE DE CARVALHO NETO"/>
    <s v="OUT"/>
    <s v="OUTROS"/>
    <n v="3105862919"/>
    <x v="0"/>
    <s v="78.87"/>
    <s v="78.76"/>
    <n v="200"/>
    <m/>
    <s v="SOLICITAR EXTINÇÃO DA AÇÃO"/>
    <n v="9999"/>
    <x v="2"/>
    <s v="13.45"/>
    <s v="anakeppe"/>
    <s v="181 a 360"/>
    <s v="ACIONAMENTO"/>
    <x v="4"/>
  </r>
  <r>
    <s v="COGECOM"/>
    <n v="80159419"/>
    <s v="GUILHERME WEIBER"/>
    <s v="OUT"/>
    <s v="OUTROS"/>
    <n v="803748914"/>
    <x v="0"/>
    <s v="555.63"/>
    <s v="139.76"/>
    <n v="719"/>
    <s v="NÃO LOCALIZADO"/>
    <s v="TELEFONES SEM ATENDIMENTO"/>
    <n v="0"/>
    <x v="2"/>
    <s v="13.47"/>
    <s v="gleise"/>
    <s v="Acima de 361"/>
    <s v="ACIONAMENTO"/>
    <x v="0"/>
  </r>
  <r>
    <s v="COGECOM"/>
    <n v="3200031424"/>
    <s v="GUSTAVO DOS REIS FIGUEIREDO"/>
    <s v="OUT"/>
    <s v="OUTROS"/>
    <n v="7776557137"/>
    <x v="0"/>
    <s v="701.01"/>
    <s v="97.09"/>
    <n v="375"/>
    <s v="NÃO LOCALIZADO"/>
    <s v="SOLICITAR EXTINÇÃO DA AÇÃO"/>
    <n v="11"/>
    <x v="2"/>
    <s v="13.46"/>
    <s v="anakeppe"/>
    <s v="Acima de 361"/>
    <s v="ACIONAMENTO"/>
    <x v="0"/>
  </r>
  <r>
    <s v="COGECOM"/>
    <n v="10523893"/>
    <s v="GUSTAVO HENRIQUE ALVES"/>
    <s v="OUT"/>
    <s v="OUTROS"/>
    <n v="94766282191"/>
    <x v="0"/>
    <s v="1057.57"/>
    <s v="184.50"/>
    <n v="275"/>
    <s v="NÃO LOCALIZADO"/>
    <s v="TELEFONES SEM ATENDIMENTO"/>
    <n v="0"/>
    <x v="2"/>
    <s v="13.49"/>
    <s v="gleise"/>
    <s v="181 a 360"/>
    <s v="ACIONAMENTO"/>
    <x v="0"/>
  </r>
  <r>
    <s v="COGECOM"/>
    <n v="3012091100"/>
    <s v="ILDEU DE CARVALHO JUNIOR"/>
    <s v="OUT"/>
    <s v="OUTROS"/>
    <n v="4309555616"/>
    <x v="0"/>
    <s v="324.43"/>
    <s v="324.43"/>
    <n v="446"/>
    <s v="SEM INTERESSE"/>
    <s v="NEGOCIAÇÃO VIA TELEFONE"/>
    <n v="0"/>
    <x v="2"/>
    <s v="10.17"/>
    <s v="anakeppe"/>
    <s v="Acima de 361"/>
    <s v="CPC"/>
    <x v="1"/>
  </r>
  <r>
    <s v="COGECOM"/>
    <n v="2309092"/>
    <s v="IRINEU DA SILVA SANTOS"/>
    <s v="OUT"/>
    <s v="OUTROS"/>
    <n v="30738148920"/>
    <x v="0"/>
    <s v="965.78"/>
    <s v="41.63"/>
    <n v="683"/>
    <s v="NÃO LOCALIZADO"/>
    <s v="TELEFONES SEM ATENDIMENTO"/>
    <n v="0"/>
    <x v="2"/>
    <s v="9.46"/>
    <s v="gleise"/>
    <s v="Acima de 361"/>
    <s v="ACIONAMENTO"/>
    <x v="0"/>
  </r>
  <r>
    <s v="COGECOM"/>
    <n v="109449339"/>
    <s v="ITAMAR ALEXANDRE ALVES DELLING"/>
    <s v="OUT"/>
    <s v="OUTROS"/>
    <n v="8104540920"/>
    <x v="0"/>
    <s v="231.32"/>
    <s v="35.01"/>
    <n v="679"/>
    <s v="NÃO LOCALIZADO"/>
    <s v="TELEFONES SEM ATENDIMENTO"/>
    <n v="0"/>
    <x v="2"/>
    <s v="13.50"/>
    <s v="gleise"/>
    <s v="Acima de 361"/>
    <s v="ACIONAMENTO"/>
    <x v="0"/>
  </r>
  <r>
    <s v="COGECOM"/>
    <n v="3090899516"/>
    <s v="ITAMAR TADEU BARBOZA DA  SILVA"/>
    <s v="OUT"/>
    <s v="OUTROS"/>
    <n v="6332579072"/>
    <x v="0"/>
    <s v="785.37"/>
    <s v="240.25"/>
    <n v="332"/>
    <s v="NÃO LOCALIZADO"/>
    <s v="TELEFONES SEM ATENDIMENTO"/>
    <n v="0"/>
    <x v="2"/>
    <s v="9.36"/>
    <s v="gleise"/>
    <s v="181 a 360"/>
    <s v="ACIONAMENTO"/>
    <x v="0"/>
  </r>
  <r>
    <s v="COGECOM"/>
    <n v="76797651"/>
    <s v="JOEL PINTO DE OLIVEIRA"/>
    <s v="OUT"/>
    <s v="OUTROS"/>
    <n v="68065760953"/>
    <x v="0"/>
    <s v="397.46"/>
    <s v="157.57"/>
    <n v="1171"/>
    <s v="EM NEGOCIAÇÃO"/>
    <s v="NEGOCIAÇÃO VIA WHATSAPP"/>
    <n v="0"/>
    <x v="2"/>
    <s v="9.30"/>
    <s v="anakeppe"/>
    <s v="Acima de 361"/>
    <s v="CPC"/>
    <x v="2"/>
  </r>
  <r>
    <s v="COGECOM"/>
    <n v="10022666050"/>
    <s v="JOSE LUIS DE FREITAS"/>
    <s v="OUT"/>
    <s v="OUTROS"/>
    <n v="97687057104"/>
    <x v="0"/>
    <s v="643.47"/>
    <s v="21.63"/>
    <n v="210"/>
    <s v="SEM INTERESSE"/>
    <s v="NEGOCIAÇÃO VIA TELEFONE"/>
    <n v="0"/>
    <x v="2"/>
    <s v="13.51"/>
    <s v="gleise"/>
    <s v="181 a 360"/>
    <s v="CPC"/>
    <x v="1"/>
  </r>
  <r>
    <s v="COGECOM"/>
    <n v="3090885340"/>
    <s v="JOSELEIA PRADO DE OLIVEIRA"/>
    <s v="OUT"/>
    <s v="OUTROS"/>
    <n v="933011032"/>
    <x v="0"/>
    <s v="343.30"/>
    <s v="150.57"/>
    <n v="197"/>
    <s v="NÃO LOCALIZADO"/>
    <s v="TELEFONES SEM ATENDIMENTO"/>
    <n v="0"/>
    <x v="2"/>
    <s v="13.52"/>
    <s v="gleise"/>
    <s v="181 a 360"/>
    <s v="ACIONAMENTO"/>
    <x v="0"/>
  </r>
  <r>
    <s v="COGECOM"/>
    <n v="3001703428"/>
    <s v="JOSUE GONCALVES BATALHA"/>
    <s v="OUT"/>
    <s v="OUTROS"/>
    <n v="6081198650"/>
    <x v="0"/>
    <s v="228.17"/>
    <s v="228.17"/>
    <n v="446"/>
    <s v="NÃO LOCALIZADO"/>
    <s v="TELEFONES SEM ATENDIMENTO"/>
    <n v="0"/>
    <x v="2"/>
    <s v="13.54"/>
    <s v="gleise"/>
    <s v="Acima de 361"/>
    <s v="ACIONAMENTO"/>
    <x v="0"/>
  </r>
  <r>
    <s v="COGECOM"/>
    <n v="54590598"/>
    <s v="JUAN MACHADO BLASIUS"/>
    <s v="OUT"/>
    <s v="OUTROS"/>
    <n v="7119174932"/>
    <x v="0"/>
    <s v="157.62"/>
    <s v="65.41"/>
    <n v="448"/>
    <s v="NÃO LOCALIZADO"/>
    <s v="TELEFONES SEM ATENDIMENTO"/>
    <n v="0"/>
    <x v="2"/>
    <s v="13.53"/>
    <s v="gleise"/>
    <s v="Acima de 361"/>
    <s v="ACIONAMENTO"/>
    <x v="0"/>
  </r>
  <r>
    <s v="COGECOM"/>
    <n v="63173140"/>
    <s v="JUNIOR EZEQUIEL SIQUEIRA"/>
    <s v="OUT"/>
    <s v="OUTROS"/>
    <n v="2586086929"/>
    <x v="0"/>
    <s v="246.98"/>
    <s v="255.94"/>
    <n v="243"/>
    <s v="NÃO LOCALIZADO"/>
    <s v="TELEFONES SEM ATENDIMENTO"/>
    <n v="0"/>
    <x v="2"/>
    <s v="13.53"/>
    <s v="gleise"/>
    <s v="181 a 360"/>
    <s v="ACIONAMENTO"/>
    <x v="0"/>
  </r>
  <r>
    <s v="COGECOM"/>
    <n v="109789393"/>
    <s v="KETLYN KEYTI VALOES GUISI"/>
    <s v="OUT"/>
    <s v="OUTROS"/>
    <n v="14180110962"/>
    <x v="0"/>
    <s v="594.01"/>
    <s v="129.45"/>
    <n v="415"/>
    <s v="NÃO LOCALIZADO"/>
    <s v="TELEFONES SEM ATENDIMENTO"/>
    <n v="0"/>
    <x v="2"/>
    <s v="13.56"/>
    <s v="gleise"/>
    <s v="Acima de 361"/>
    <s v="ACIONAMENTO"/>
    <x v="0"/>
  </r>
  <r>
    <s v="COGECOM"/>
    <n v="106081020"/>
    <s v="LEANDRO LAERCIO PACHECO"/>
    <s v="OUT"/>
    <s v="OUTROS"/>
    <n v="5623678963"/>
    <x v="0"/>
    <s v="99.14"/>
    <s v="99.14"/>
    <n v="265"/>
    <s v="NÃO LOCALIZADO"/>
    <s v="TELEFONES SEM ATENDIMENTO"/>
    <n v="0"/>
    <x v="2"/>
    <s v="13.57"/>
    <s v="gleise"/>
    <s v="181 a 360"/>
    <s v="ACIONAMENTO"/>
    <x v="0"/>
  </r>
  <r>
    <s v="COGECOM"/>
    <n v="10016556834"/>
    <s v="LENICE ALVES DE ARAUJO"/>
    <s v="OUT"/>
    <s v="OUTROS"/>
    <n v="74942468787"/>
    <x v="0"/>
    <s v="221.99"/>
    <s v="46.15"/>
    <n v="203"/>
    <s v="NÃO LOCALIZADO"/>
    <s v="TELEFONES SEM ATENDIMENTO"/>
    <n v="0"/>
    <x v="2"/>
    <s v="13.55"/>
    <s v="gleise"/>
    <s v="181 a 360"/>
    <s v="ACIONAMENTO"/>
    <x v="0"/>
  </r>
  <r>
    <s v="COGECOM"/>
    <n v="500078476"/>
    <s v="LEONARDO OLIVEIRA WORST"/>
    <s v="OUT"/>
    <s v="OUTROS"/>
    <n v="4630633170"/>
    <x v="0"/>
    <s v="619.98"/>
    <s v="97.83"/>
    <n v="205"/>
    <s v="AG RESPOSTA 1º CONTATO"/>
    <s v="ENVIADO MSG/E-MAIL 1º CONTATO"/>
    <n v="0"/>
    <x v="2"/>
    <s v="14.02"/>
    <s v="l.quadros"/>
    <s v="181 a 360"/>
    <s v="ACIONAMENTO"/>
    <x v="4"/>
  </r>
  <r>
    <s v="COGECOM"/>
    <n v="3091175347"/>
    <s v="LICIARA SOUZA MELLO"/>
    <s v="OUT"/>
    <s v="OUTROS"/>
    <n v="82100683004"/>
    <x v="0"/>
    <s v="2883.36"/>
    <s v="662.50"/>
    <n v="316"/>
    <s v="SEM INTERESSE"/>
    <s v="NEGOCIAÇÃO VIA TELEFONE"/>
    <n v="0"/>
    <x v="2"/>
    <s v="9.58"/>
    <s v="gleise"/>
    <s v="181 a 360"/>
    <s v="CPC"/>
    <x v="1"/>
  </r>
  <r>
    <s v="COGECOM"/>
    <n v="3000963863"/>
    <s v="LINDSAY LOUISE MACHADO FARIA"/>
    <s v="OUT"/>
    <s v="OUTROS"/>
    <n v="4486845609"/>
    <x v="0"/>
    <s v="379.80"/>
    <s v="197.10"/>
    <n v="345"/>
    <s v="NÃO LOCALIZADO"/>
    <s v="TELEFONES SEM ATENDIMENTO"/>
    <n v="0"/>
    <x v="2"/>
    <s v="13.58"/>
    <s v="gleise"/>
    <s v="181 a 360"/>
    <s v="ACIONAMENTO"/>
    <x v="0"/>
  </r>
  <r>
    <s v="COGECOM"/>
    <n v="75421160"/>
    <s v="LIZIANE MARIA TREVISAN"/>
    <s v="OUT"/>
    <s v="OUTROS"/>
    <n v="3646945990"/>
    <x v="0"/>
    <s v="1293.47"/>
    <s v="287.41"/>
    <n v="324"/>
    <s v="NÃO LOCALIZADO"/>
    <s v="TELEFONES SEM ATENDIMENTO"/>
    <n v="0"/>
    <x v="2"/>
    <s v="13.58"/>
    <s v="gleise"/>
    <s v="181 a 360"/>
    <s v="ACIONAMENTO"/>
    <x v="0"/>
  </r>
  <r>
    <s v="COGECOM"/>
    <n v="100015875"/>
    <s v="LUCIANE DO ROCIO SALES"/>
    <s v="OUT"/>
    <s v="OUTROS"/>
    <n v="3461383961"/>
    <x v="0"/>
    <s v="1290.60"/>
    <s v="156.69"/>
    <n v="490"/>
    <s v="SEM INTERESSE"/>
    <s v="NEGOCIAÇÃO VIA TELEFONE"/>
    <n v="0"/>
    <x v="2"/>
    <s v="10.24"/>
    <s v="anakeppe"/>
    <s v="Acima de 361"/>
    <s v="CPC"/>
    <x v="1"/>
  </r>
  <r>
    <s v="COGECOM"/>
    <n v="4002230602"/>
    <s v="MARCELO ALEXANDRE DE MELLO"/>
    <s v="OUT"/>
    <s v="OUTROS"/>
    <n v="3250569003"/>
    <x v="0"/>
    <s v="435.02"/>
    <s v="178.00"/>
    <n v="431"/>
    <s v="NÃO LOCALIZADO"/>
    <s v="TELEFONES SEM ATENDIMENTO"/>
    <n v="0"/>
    <x v="2"/>
    <s v="13.59"/>
    <s v="gleise"/>
    <s v="Acima de 361"/>
    <s v="ACIONAMENTO"/>
    <x v="0"/>
  </r>
  <r>
    <s v="COGECOM"/>
    <n v="3085527332"/>
    <s v="MARCIANO LUIZ VETTORAZZI"/>
    <s v="OUT"/>
    <s v="OUTROS"/>
    <n v="92335870025"/>
    <x v="0"/>
    <s v="183.93"/>
    <s v="103.84"/>
    <n v="591"/>
    <s v="NÃO LOCALIZADO"/>
    <s v="TELEFONES SEM ATENDIMENTO"/>
    <n v="0"/>
    <x v="2"/>
    <s v="14.03"/>
    <s v="gleise"/>
    <s v="Acima de 361"/>
    <s v="ACIONAMENTO"/>
    <x v="0"/>
  </r>
  <r>
    <s v="COGECOM"/>
    <n v="17017750"/>
    <s v="MARCO AURELIO DA SILVA"/>
    <s v="OUT"/>
    <s v="OUTROS"/>
    <n v="96894873100"/>
    <x v="0"/>
    <s v="657.84"/>
    <s v="30.76"/>
    <n v="335"/>
    <s v="NÃO LOCALIZADO"/>
    <s v="TELEFONES SEM ATENDIMENTO"/>
    <n v="0"/>
    <x v="2"/>
    <s v="11.18"/>
    <s v="gleise"/>
    <s v="181 a 360"/>
    <s v="ACIONAMENTO"/>
    <x v="0"/>
  </r>
  <r>
    <s v="COGECOM"/>
    <n v="3014820145"/>
    <s v="MARCOS PAULO VIANA NUNES DE LIMA"/>
    <s v="OUT"/>
    <s v="OUTROS"/>
    <n v="250543257"/>
    <x v="0"/>
    <s v="835.92"/>
    <s v="247.22"/>
    <n v="428"/>
    <s v="NÃO LOCALIZADO"/>
    <s v="TELEFONES SEM ATENDIMENTO"/>
    <n v="0"/>
    <x v="2"/>
    <s v="14.00"/>
    <s v="gleise"/>
    <s v="Acima de 361"/>
    <s v="ACIONAMENTO"/>
    <x v="0"/>
  </r>
  <r>
    <s v="COGECOM"/>
    <n v="102580324"/>
    <s v="MARCOS ROBERTO DA   SILVA"/>
    <s v="OUT"/>
    <s v="OUTROS"/>
    <n v="7552369981"/>
    <x v="0"/>
    <s v="1241.55"/>
    <s v="224.70"/>
    <n v="313"/>
    <s v="NÃO LOCALIZADO"/>
    <s v="TELEFONES SEM ATENDIMENTO"/>
    <n v="0"/>
    <x v="2"/>
    <s v="11.46"/>
    <s v="gleise"/>
    <s v="181 a 360"/>
    <s v="ACIONAMENTO"/>
    <x v="0"/>
  </r>
  <r>
    <s v="COGECOM"/>
    <n v="3091290442"/>
    <s v="MARIA BEATRIZ DE OLIVEIRA SILVA"/>
    <s v="OUT"/>
    <s v="OUTROS"/>
    <n v="49245805034"/>
    <x v="0"/>
    <s v="1156.58"/>
    <s v="100.38"/>
    <n v="328"/>
    <s v="NÃO LOCALIZADO"/>
    <s v="TELEFONES SEM ATENDIMENTO"/>
    <n v="0"/>
    <x v="2"/>
    <s v="14.00"/>
    <s v="gleise"/>
    <s v="181 a 360"/>
    <s v="ACIONAMENTO"/>
    <x v="0"/>
  </r>
  <r>
    <s v="COGECOM"/>
    <n v="3000501634"/>
    <s v="MARIA DE FÁTIMA SANTOS"/>
    <s v="OUT"/>
    <s v="OUTROS"/>
    <n v="60332140644"/>
    <x v="0"/>
    <s v="2487.55"/>
    <s v="1002.03"/>
    <n v="426"/>
    <s v="SEM INTERESSE"/>
    <s v="NEGOCIAÇÃO VIA TELEFONE"/>
    <n v="0"/>
    <x v="2"/>
    <s v="10.36"/>
    <s v="anakeppe"/>
    <s v="Acima de 361"/>
    <s v="CPC"/>
    <x v="1"/>
  </r>
  <r>
    <s v="COGECOM"/>
    <n v="51098889"/>
    <s v="MARIA DE LOURDES PEREIRA PORCIUNCULA"/>
    <s v="OUT"/>
    <s v="OUTROS"/>
    <n v="31327702991"/>
    <x v="0"/>
    <s v="557.01"/>
    <s v="335.49"/>
    <n v="225"/>
    <s v="NÃO LOCALIZADO"/>
    <s v="TELEFONES SEM ATENDIMENTO"/>
    <n v="0"/>
    <x v="2"/>
    <s v="14.02"/>
    <s v="gleise"/>
    <s v="181 a 360"/>
    <s v="ACIONAMENTO"/>
    <x v="0"/>
  </r>
  <r>
    <s v="COGECOM"/>
    <n v="3012400600"/>
    <s v="MARIA JARDIM SANTANA"/>
    <s v="OUT"/>
    <s v="OUTROS"/>
    <n v="8877434635"/>
    <x v="0"/>
    <s v="915.99"/>
    <s v="185.43"/>
    <n v="446"/>
    <s v="SEM INTERESSE"/>
    <s v="NEGOCIAÇÃO VIA TELEFONE"/>
    <n v="0"/>
    <x v="2"/>
    <s v="10.56"/>
    <s v="anakeppe"/>
    <s v="Acima de 361"/>
    <s v="CPC"/>
    <x v="1"/>
  </r>
  <r>
    <s v="COGECOM"/>
    <n v="56514856"/>
    <s v="MARIA LECY SILVA DE LIMA"/>
    <s v="OUT"/>
    <s v="OUTROS"/>
    <n v="59582383291"/>
    <x v="0"/>
    <s v="532.43"/>
    <s v="147.31"/>
    <n v="315"/>
    <s v="NÃO LOCALIZADO"/>
    <s v="TELEFONES SEM ATENDIMENTO"/>
    <n v="0"/>
    <x v="2"/>
    <s v="9.40"/>
    <s v="gleise"/>
    <s v="181 a 360"/>
    <s v="ACIONAMENTO"/>
    <x v="0"/>
  </r>
  <r>
    <s v="COGECOM"/>
    <n v="3001279124"/>
    <s v="MARLENE FERREIRA GOMES"/>
    <s v="OUT"/>
    <s v="OUTROS"/>
    <n v="75216760687"/>
    <x v="0"/>
    <s v="284.39"/>
    <s v="99.80"/>
    <n v="281"/>
    <s v="AG RESPOSTA 1º CONTATO"/>
    <s v="ENVIADO MSG/E-MAIL 1º CONTATO"/>
    <n v="0"/>
    <x v="2"/>
    <s v="9.27"/>
    <s v="l.quadros"/>
    <s v="181 a 360"/>
    <s v="ACIONAMENTO"/>
    <x v="4"/>
  </r>
  <r>
    <s v="COGECOM"/>
    <n v="10034024598"/>
    <s v="MARLENE MENDES"/>
    <s v="OUT"/>
    <s v="OUTROS"/>
    <n v="875164110"/>
    <x v="0"/>
    <s v="602.37"/>
    <s v="170.95"/>
    <n v="242"/>
    <s v="SEM INTERESSE"/>
    <s v="NEGOCIAÇÃO VIA TELEFONE"/>
    <n v="0"/>
    <x v="2"/>
    <s v="10.59"/>
    <s v="anakeppe"/>
    <s v="181 a 360"/>
    <s v="CPC"/>
    <x v="1"/>
  </r>
  <r>
    <s v="COGECOM"/>
    <n v="47899710"/>
    <s v="MATEUS DORNELES RAFFLER ME"/>
    <s v="OUT"/>
    <s v="OUTROS"/>
    <n v="28592512000103"/>
    <x v="0"/>
    <s v="2818.52"/>
    <s v="791.34"/>
    <n v="592"/>
    <s v="NÃO LOCALIZADO"/>
    <s v="TELEFONES SEM ATENDIMENTO"/>
    <n v="0"/>
    <x v="2"/>
    <s v="14.04"/>
    <s v="gleise"/>
    <s v="Acima de 361"/>
    <s v="ACIONAMENTO"/>
    <x v="0"/>
  </r>
  <r>
    <s v="COGECOM"/>
    <n v="3085151193"/>
    <s v="MATHEUS DA COSTA EVANGELISTA"/>
    <s v="OUT"/>
    <s v="OUTROS"/>
    <n v="2553135009"/>
    <x v="0"/>
    <s v="549.69"/>
    <s v="183.00"/>
    <n v="333"/>
    <s v="EM NEGOCIAÇÃO"/>
    <s v="SOLICITAR EXTINÇÃO DA AÇÃO"/>
    <n v="9999"/>
    <x v="2"/>
    <s v="14.03"/>
    <s v="anakeppe"/>
    <s v="181 a 360"/>
    <s v="ACIONAMENTO"/>
    <x v="2"/>
  </r>
  <r>
    <s v="COGECOM"/>
    <n v="67326331"/>
    <s v="MAURICIO KISS SIQUEIRA DE CASTRO"/>
    <s v="OUT"/>
    <s v="OUTROS"/>
    <n v="70946892920"/>
    <x v="0"/>
    <s v="670.07"/>
    <s v="417.50"/>
    <n v="208"/>
    <s v="NÃO LOCALIZADO"/>
    <s v="TELEFONES SEM ATENDIMENTO"/>
    <n v="0"/>
    <x v="2"/>
    <s v="9.32"/>
    <s v="gleise"/>
    <s v="181 a 360"/>
    <s v="ACIONAMENTO"/>
    <x v="0"/>
  </r>
  <r>
    <s v="COGECOM"/>
    <n v="10017772280"/>
    <s v="MAYCON DO NASCIMENTO PEREIRA"/>
    <s v="OUT"/>
    <s v="OUTROS"/>
    <n v="3879679150"/>
    <x v="0"/>
    <s v="397.23"/>
    <s v="51.19"/>
    <n v="231"/>
    <m/>
    <s v="SOLICITAR EXTINÇÃO DA AÇÃO"/>
    <n v="9999"/>
    <x v="2"/>
    <s v="14.05"/>
    <s v="anakeppe"/>
    <s v="181 a 360"/>
    <s v="ACIONAMENTO"/>
    <x v="4"/>
  </r>
  <r>
    <s v="COGECOM"/>
    <n v="12370587"/>
    <s v="MOISES FERNANDES DE ABREU"/>
    <s v="OUT"/>
    <s v="OUTROS"/>
    <n v="56677278115"/>
    <x v="0"/>
    <s v="391.24"/>
    <s v="30.76"/>
    <n v="194"/>
    <s v="NÃO LOCALIZADO"/>
    <s v="TELEFONES SEM ATENDIMENTO"/>
    <n v="0"/>
    <x v="2"/>
    <s v="9.30"/>
    <s v="gleise"/>
    <s v="181 a 360"/>
    <s v="ACIONAMENTO"/>
    <x v="0"/>
  </r>
  <r>
    <s v="COGECOM"/>
    <n v="3081829249"/>
    <s v="NEDEL E MELLO LTDA"/>
    <s v="OUT"/>
    <s v="OUTROS"/>
    <n v="7166282000140"/>
    <x v="0"/>
    <s v="4125.31"/>
    <s v="1024.35"/>
    <n v="642"/>
    <s v="AG RESPOSTA 1º CONTATO"/>
    <s v="ENVIADO MSG/E-MAIL 1º CONTATO"/>
    <n v="0"/>
    <x v="2"/>
    <s v="14.08"/>
    <s v="l.quadros"/>
    <s v="Acima de 361"/>
    <s v="ACIONAMENTO"/>
    <x v="4"/>
  </r>
  <r>
    <s v="COGECOM"/>
    <n v="11293974"/>
    <s v="NEDIVON SANTANA DE FREITAS"/>
    <s v="OUT"/>
    <s v="OUTROS"/>
    <n v="33862508153"/>
    <x v="0"/>
    <s v="2048.16"/>
    <s v="146.57"/>
    <n v="270"/>
    <s v="NÃO LOCALIZADO"/>
    <s v="TELEFONES SEM ATENDIMENTO"/>
    <n v="0"/>
    <x v="2"/>
    <s v="14.05"/>
    <s v="gleise"/>
    <s v="181 a 360"/>
    <s v="ACIONAMENTO"/>
    <x v="0"/>
  </r>
  <r>
    <s v="COGECOM"/>
    <n v="15880576"/>
    <s v="NEUSA DILL"/>
    <s v="OUT"/>
    <s v="OUTROS"/>
    <n v="340077921"/>
    <x v="0"/>
    <s v="3801.62"/>
    <s v="396.69"/>
    <n v="257"/>
    <s v="NÃO LOCALIZADO"/>
    <s v="TELEFONES SEM ATENDIMENTO"/>
    <n v="0"/>
    <x v="2"/>
    <s v="10.33"/>
    <s v="gleise"/>
    <s v="181 a 360"/>
    <s v="ACIONAMENTO"/>
    <x v="0"/>
  </r>
  <r>
    <s v="COGECOM"/>
    <n v="54605285"/>
    <s v="NILTON RAMOS LOUREDO"/>
    <s v="OUT"/>
    <s v="OUTROS"/>
    <n v="42271711215"/>
    <x v="0"/>
    <s v="336.94"/>
    <s v="15.01"/>
    <n v="262"/>
    <m/>
    <s v="SOLICITAR EXTINÇÃO DA AÇÃO"/>
    <n v="9999"/>
    <x v="2"/>
    <s v="14.04"/>
    <s v="anakeppe"/>
    <s v="181 a 360"/>
    <s v="ACIONAMENTO"/>
    <x v="4"/>
  </r>
  <r>
    <s v="COGECOM"/>
    <n v="3092188958"/>
    <s v="NYCE FERNANDA BISCAINO SOARES"/>
    <s v="OUT"/>
    <s v="OUTROS"/>
    <n v="687849020"/>
    <x v="0"/>
    <s v="2800.36"/>
    <s v="432.29"/>
    <n v="326"/>
    <s v="NÃO LOCALIZADO"/>
    <s v="TELEFONES SEM ATENDIMENTO"/>
    <n v="0"/>
    <x v="2"/>
    <s v="10.31"/>
    <s v="gleise"/>
    <s v="181 a 360"/>
    <s v="ACIONAMENTO"/>
    <x v="0"/>
  </r>
  <r>
    <s v="COGECOM"/>
    <n v="3095630532"/>
    <s v="OMAR ANTONIO ABDALLA PEREZ"/>
    <s v="OUT"/>
    <s v="OUTROS"/>
    <n v="46873236004"/>
    <x v="0"/>
    <s v="542.54"/>
    <s v="146.08"/>
    <n v="228"/>
    <s v="SEM INTERESSE"/>
    <s v="NEGOCIAÇÃO VIA TELEFONE"/>
    <n v="0"/>
    <x v="2"/>
    <s v="14.08"/>
    <s v="gleise"/>
    <s v="181 a 360"/>
    <s v="CPC"/>
    <x v="1"/>
  </r>
  <r>
    <s v="COGECOM"/>
    <n v="14698064"/>
    <s v="ORLANDO AGUSTINHO DE ARAUJO"/>
    <s v="OUT"/>
    <s v="OUTROS"/>
    <n v="20583630944"/>
    <x v="0"/>
    <s v="229.16"/>
    <s v="109.54"/>
    <n v="451"/>
    <s v="SEM INTERESSE"/>
    <s v="SOLICITAR EXTINÇÃO DA AÇÃO"/>
    <n v="4"/>
    <x v="2"/>
    <s v="14.05"/>
    <s v="anakeppe"/>
    <s v="Acima de 361"/>
    <s v="ACIONAMENTO"/>
    <x v="1"/>
  </r>
  <r>
    <s v="COGECOM"/>
    <n v="95007237"/>
    <s v="PAULA ANDRESSA SILVA DE MORAES"/>
    <s v="OUT"/>
    <s v="OUTROS"/>
    <n v="3688919920"/>
    <x v="0"/>
    <s v="523.36"/>
    <s v="186.04"/>
    <n v="280"/>
    <s v="NÃO LOCALIZADO"/>
    <s v="TELEFONES SEM ATENDIMENTO"/>
    <n v="0"/>
    <x v="2"/>
    <s v="14.09"/>
    <s v="gleise"/>
    <s v="181 a 360"/>
    <s v="ACIONAMENTO"/>
    <x v="0"/>
  </r>
  <r>
    <s v="COGECOM"/>
    <n v="3001271227"/>
    <s v="PAULA VANESSA ALVES FERREIRA"/>
    <s v="OUT"/>
    <s v="OUTROS"/>
    <n v="6983842618"/>
    <x v="0"/>
    <s v="1236.73"/>
    <s v="676.77"/>
    <n v="532"/>
    <s v="NÃO LOCALIZADO"/>
    <s v="TELEFONES SEM ATENDIMENTO"/>
    <n v="0"/>
    <x v="2"/>
    <s v="9.31"/>
    <s v="gleise"/>
    <s v="Acima de 361"/>
    <s v="ACIONAMENTO"/>
    <x v="0"/>
  </r>
  <r>
    <s v="COGECOM"/>
    <n v="84802995"/>
    <s v="PETRONIO CARDOSO"/>
    <s v="OUT"/>
    <s v="OUTROS"/>
    <n v="52916162968"/>
    <x v="0"/>
    <s v="245.92"/>
    <s v="245.92"/>
    <n v="297"/>
    <s v="NÃO LOCALIZADO"/>
    <s v="TELEFONES SEM ATENDIMENTO"/>
    <n v="0"/>
    <x v="2"/>
    <s v="14.10"/>
    <s v="gleise"/>
    <s v="181 a 360"/>
    <s v="ACIONAMENTO"/>
    <x v="0"/>
  </r>
  <r>
    <s v="COGECOM"/>
    <n v="3002998635"/>
    <s v="REGINA MARIA DE OLIVEIRA"/>
    <s v="OUT"/>
    <s v="OUTROS"/>
    <n v="38089826830"/>
    <x v="0"/>
    <s v="790.05"/>
    <s v="169.88"/>
    <n v="618"/>
    <s v="NÃO LOCALIZADO"/>
    <s v="TELEFONES SEM ATENDIMENTO"/>
    <n v="0"/>
    <x v="2"/>
    <s v="14.11"/>
    <s v="gleise"/>
    <s v="Acima de 361"/>
    <s v="ACIONAMENTO"/>
    <x v="0"/>
  </r>
  <r>
    <s v="COGECOM"/>
    <n v="93785666"/>
    <s v="RESTAURANTE GOLDENSTEIN E TERUCHKIN"/>
    <s v="OUT"/>
    <s v="OUTROS"/>
    <n v="21185957000120"/>
    <x v="0"/>
    <s v="1363.07"/>
    <s v="1363.07"/>
    <n v="1653"/>
    <s v="NÃO LOCALIZADO"/>
    <s v="TELEFONES SEM ATENDIMENTO"/>
    <n v="0"/>
    <x v="2"/>
    <s v="9.50"/>
    <s v="gleise"/>
    <s v="Acima de 361"/>
    <s v="ACIONAMENTO"/>
    <x v="0"/>
  </r>
  <r>
    <s v="COGECOM"/>
    <n v="3001289487"/>
    <s v="RICHARLES JESUS DOS SANTOS"/>
    <s v="OUT"/>
    <s v="OUTROS"/>
    <n v="4004474604"/>
    <x v="0"/>
    <s v="1665.56"/>
    <s v="1569.42"/>
    <n v="395"/>
    <s v="NÃO LOCALIZADO"/>
    <s v="TELEFONES SEM ATENDIMENTO"/>
    <n v="0"/>
    <x v="2"/>
    <s v="14.12"/>
    <s v="gleise"/>
    <s v="Acima de 361"/>
    <s v="ACIONAMENTO"/>
    <x v="0"/>
  </r>
  <r>
    <s v="COGECOM"/>
    <n v="102896399"/>
    <s v="RODINEIA LUZIA DE SOUZA CHAMPION"/>
    <s v="OUT"/>
    <s v="OUTROS"/>
    <n v="770047955"/>
    <x v="0"/>
    <s v="1327.33"/>
    <s v="518.97"/>
    <n v="555"/>
    <s v="NÃO LOCALIZADO"/>
    <s v="TELEFONES SEM ATENDIMENTO"/>
    <n v="0"/>
    <x v="2"/>
    <s v="14.13"/>
    <s v="gleise"/>
    <s v="Acima de 361"/>
    <s v="ACIONAMENTO"/>
    <x v="0"/>
  </r>
  <r>
    <s v="COGECOM"/>
    <n v="106596934"/>
    <s v="RODRIGO PEREIRA DA SILVA"/>
    <s v="OUT"/>
    <s v="OUTROS"/>
    <n v="6553074941"/>
    <x v="0"/>
    <s v="49.11"/>
    <s v="49.11"/>
    <n v="415"/>
    <s v="NÃO LOCALIZADO"/>
    <s v="TELEFONES SEM ATENDIMENTO"/>
    <n v="0"/>
    <x v="2"/>
    <s v="14.13"/>
    <s v="gleise"/>
    <s v="Acima de 361"/>
    <s v="ACIONAMENTO"/>
    <x v="0"/>
  </r>
  <r>
    <s v="COGECOM"/>
    <n v="8061343"/>
    <s v="ROGERIO BRIETZIG"/>
    <s v="OUT"/>
    <s v="OUTROS"/>
    <n v="378803905"/>
    <x v="0"/>
    <s v="1839.25"/>
    <s v="370.11"/>
    <n v="339"/>
    <s v="NÃO LOCALIZADO"/>
    <s v="TELEFONES SEM ATENDIMENTO"/>
    <n v="0"/>
    <x v="2"/>
    <s v="11.36"/>
    <s v="gleise"/>
    <s v="181 a 360"/>
    <s v="ACIONAMENTO"/>
    <x v="0"/>
  </r>
  <r>
    <s v="COGECOM"/>
    <n v="3014936957"/>
    <s v="ROSEMEIRE APARECIDA ALVES"/>
    <s v="OUT"/>
    <s v="OUTROS"/>
    <n v="70430551649"/>
    <x v="0"/>
    <s v="424.76"/>
    <s v="10.79"/>
    <n v="282"/>
    <s v="AG RESPOSTA 1º CONTATO"/>
    <s v="ENVIADO MSG/E-MAIL 1º CONTATO"/>
    <n v="0"/>
    <x v="2"/>
    <s v="9.55"/>
    <s v="l.quadros"/>
    <s v="181 a 360"/>
    <s v="ACIONAMENTO"/>
    <x v="4"/>
  </r>
  <r>
    <s v="COGECOM"/>
    <n v="4462343"/>
    <s v="ROZELI DO CARMO PESCHEL NUNES"/>
    <s v="OUT"/>
    <s v="OUTROS"/>
    <n v="42054877972"/>
    <x v="0"/>
    <s v="145.22"/>
    <s v="57.26"/>
    <n v="358"/>
    <s v="SEM INTERESSE"/>
    <s v="NEGOCIAÇÃO VIA TELEFONE"/>
    <n v="0"/>
    <x v="2"/>
    <s v="11.26"/>
    <s v="anakeppe"/>
    <s v="181 a 360"/>
    <s v="CPC"/>
    <x v="1"/>
  </r>
  <r>
    <s v="COGECOM"/>
    <n v="10033656744"/>
    <s v="SANTIAGO GEREMIAS CANDIDO"/>
    <s v="OUT"/>
    <s v="OUTROS"/>
    <n v="28020154"/>
    <x v="0"/>
    <s v="1293.78"/>
    <s v="150.71"/>
    <n v="397"/>
    <s v="NÃO LOCALIZADO"/>
    <s v="TELEFONES SEM ATENDIMENTO"/>
    <n v="0"/>
    <x v="2"/>
    <s v="14.14"/>
    <s v="gleise"/>
    <s v="Acima de 361"/>
    <s v="ACIONAMENTO"/>
    <x v="0"/>
  </r>
  <r>
    <s v="COGECOM"/>
    <n v="1390054886"/>
    <s v="SEBASTIAO PEREIRA DE ARAUJO"/>
    <s v="OUT"/>
    <s v="OUTROS"/>
    <n v="13388037191"/>
    <x v="0"/>
    <s v="1278.82"/>
    <s v="92.29"/>
    <n v="229"/>
    <s v="NÃO LOCALIZADO"/>
    <s v="TELEFONES SEM ATENDIMENTO"/>
    <n v="0"/>
    <x v="2"/>
    <s v="14.15"/>
    <s v="gleise"/>
    <s v="181 a 360"/>
    <s v="ACIONAMENTO"/>
    <x v="0"/>
  </r>
  <r>
    <s v="COGECOM"/>
    <n v="10035584929"/>
    <s v="STANLLEY COSTA DE SOUZA"/>
    <s v="OUT"/>
    <s v="OUTROS"/>
    <n v="1978539193"/>
    <x v="0"/>
    <s v="1543.55"/>
    <s v="189.94"/>
    <n v="357"/>
    <s v="NÃO LOCALIZADO"/>
    <s v="TELEFONES SEM ATENDIMENTO"/>
    <n v="0"/>
    <x v="2"/>
    <s v="14.16"/>
    <s v="gleise"/>
    <s v="181 a 360"/>
    <s v="ACIONAMENTO"/>
    <x v="0"/>
  </r>
  <r>
    <s v="COGECOM"/>
    <n v="20533942"/>
    <s v="STELLA MARYS MENGHINI MARTINES"/>
    <s v="OUT"/>
    <s v="OUTROS"/>
    <n v="2874718963"/>
    <x v="0"/>
    <s v="377.03"/>
    <s v="208.17"/>
    <n v="482"/>
    <s v="NÃO LOCALIZADO"/>
    <s v="TELEFONES SEM ATENDIMENTO"/>
    <n v="0"/>
    <x v="2"/>
    <s v="9.27"/>
    <s v="gleise"/>
    <s v="Acima de 361"/>
    <s v="ACIONAMENTO"/>
    <x v="0"/>
  </r>
  <r>
    <s v="COGECOM"/>
    <n v="44348071"/>
    <s v="SUBNORTE COMERCIO DE ALIMENTOS LTDA"/>
    <s v="OUT"/>
    <s v="OUTROS"/>
    <n v="7236161000128"/>
    <x v="0"/>
    <s v="168.48"/>
    <s v="168.48"/>
    <n v="1207"/>
    <s v="NÃO LOCALIZADO"/>
    <s v="TELEFONES SEM ATENDIMENTO"/>
    <n v="0"/>
    <x v="2"/>
    <s v="14.15"/>
    <s v="gleise"/>
    <s v="Acima de 361"/>
    <s v="ACIONAMENTO"/>
    <x v="0"/>
  </r>
  <r>
    <s v="COGECOM"/>
    <n v="19856658"/>
    <s v="TARCISIO RAMOS"/>
    <s v="OUT"/>
    <s v="OUTROS"/>
    <n v="1004403984"/>
    <x v="0"/>
    <s v="127.73"/>
    <s v="51.90"/>
    <n v="563"/>
    <s v="AG RESPOSTA 1º CONTATO"/>
    <s v="ENVIADO MSG/E-MAIL 1º CONTATO"/>
    <n v="0"/>
    <x v="2"/>
    <s v="14.29"/>
    <s v="l.quadros"/>
    <s v="Acima de 361"/>
    <s v="ACIONAMENTO"/>
    <x v="4"/>
  </r>
  <r>
    <s v="COGECOM"/>
    <n v="107234505"/>
    <s v="TATHIANA FIGUEIRO MACIEL"/>
    <s v="OUT"/>
    <s v="OUTROS"/>
    <n v="6146629901"/>
    <x v="0"/>
    <s v="1254.55"/>
    <s v="80.49"/>
    <n v="431"/>
    <s v="SEM INTERESSE"/>
    <s v="NEGOCIAÇÃO VIA TELEFONE"/>
    <n v="0"/>
    <x v="2"/>
    <s v="11.13"/>
    <s v="gleise"/>
    <s v="Acima de 361"/>
    <s v="CPC"/>
    <x v="1"/>
  </r>
  <r>
    <s v="COGECOM"/>
    <n v="10001671446"/>
    <s v="TERCIO MARTINS DIAS"/>
    <s v="OUT"/>
    <s v="OUTROS"/>
    <n v="50886215153"/>
    <x v="0"/>
    <s v="1479.93"/>
    <s v="294.54"/>
    <n v="281"/>
    <s v="ACORDO VIGENTE COLCHÃO EM DIA"/>
    <s v="SOLICITAR EXTINÇÃO DA AÇÃO"/>
    <n v="94"/>
    <x v="2"/>
    <s v="14.16"/>
    <s v="anakeppe"/>
    <s v="181 a 360"/>
    <s v="ACIONAMENTO"/>
    <x v="2"/>
  </r>
  <r>
    <s v="COGECOM"/>
    <n v="9520767"/>
    <s v="THALLES FELIPE GOMES DO CAMPO"/>
    <s v="OUT"/>
    <s v="OUTROS"/>
    <n v="611585260"/>
    <x v="0"/>
    <s v="414.69"/>
    <s v="133.80"/>
    <n v="191"/>
    <s v="NÃO LOCALIZADO"/>
    <s v="TELEFONES SEM ATENDIMENTO"/>
    <n v="0"/>
    <x v="2"/>
    <s v="14.17"/>
    <s v="gleise"/>
    <s v="181 a 360"/>
    <s v="ACIONAMENTO"/>
    <x v="0"/>
  </r>
  <r>
    <s v="COGECOM"/>
    <n v="26985268"/>
    <s v="THAYANE MOREIRA DOS SANTOS"/>
    <s v="OUT"/>
    <s v="OUTROS"/>
    <n v="7126281935"/>
    <x v="0"/>
    <s v="249.02"/>
    <s v="41.63"/>
    <n v="683"/>
    <s v="EM NEGOCIAÇÃO"/>
    <s v="SOLICITAR EXTINÇÃO DA AÇÃO"/>
    <n v="9999"/>
    <x v="2"/>
    <s v="14.17"/>
    <s v="anakeppe"/>
    <s v="Acima de 361"/>
    <s v="ACIONAMENTO"/>
    <x v="2"/>
  </r>
  <r>
    <s v="COGECOM"/>
    <n v="10008805200"/>
    <s v="THIAGO CESAR GAMERO"/>
    <s v="OUT"/>
    <s v="OUTROS"/>
    <n v="1267030194"/>
    <x v="0"/>
    <s v="1184.28"/>
    <s v="242.33"/>
    <n v="298"/>
    <s v="NÃO LOCALIZADO"/>
    <s v="SOLICITAR EXTINÇÃO DA AÇÃO"/>
    <n v="12"/>
    <x v="2"/>
    <s v="14.17"/>
    <s v="anakeppe"/>
    <s v="181 a 360"/>
    <s v="ACIONAMENTO"/>
    <x v="0"/>
  </r>
  <r>
    <s v="COGECOM"/>
    <n v="17815266"/>
    <s v="THIAGO VINICIUS BRANDT"/>
    <s v="OUT"/>
    <s v="OUTROS"/>
    <n v="9449202000190"/>
    <x v="0"/>
    <s v="1491.44"/>
    <s v="426.03"/>
    <n v="194"/>
    <s v="NÃO LOCALIZADO"/>
    <s v="TELEFONES SEM ATENDIMENTO"/>
    <n v="0"/>
    <x v="2"/>
    <s v="14.17"/>
    <s v="gleise"/>
    <s v="181 a 360"/>
    <s v="ACIONAMENTO"/>
    <x v="0"/>
  </r>
  <r>
    <s v="COGECOM"/>
    <n v="3095718827"/>
    <s v="TIAGO CALSON FERREIRA"/>
    <s v="OUT"/>
    <s v="OUTROS"/>
    <n v="319884074"/>
    <x v="0"/>
    <s v="112.82"/>
    <s v="87.10"/>
    <n v="397"/>
    <s v="AG RESPOSTA 1º CONTATO"/>
    <s v="ENVIADO MSG/E-MAIL 1º CONTATO"/>
    <n v="0"/>
    <x v="2"/>
    <s v="9.34"/>
    <s v="l.quadros"/>
    <s v="Acima de 361"/>
    <s v="ACIONAMENTO"/>
    <x v="4"/>
  </r>
  <r>
    <s v="COGECOM"/>
    <n v="10024763282"/>
    <s v="VALDEMAR FERREIRA BORGES NETO"/>
    <s v="OUT"/>
    <s v="OUTROS"/>
    <n v="97808490172"/>
    <x v="0"/>
    <s v="371.51"/>
    <s v="15.38"/>
    <n v="200"/>
    <s v="NÃO LOCALIZADO"/>
    <s v="TELEFONES SEM ATENDIMENTO"/>
    <n v="0"/>
    <x v="2"/>
    <s v="14.18"/>
    <s v="gleise"/>
    <s v="181 a 360"/>
    <s v="ACIONAMENTO"/>
    <x v="0"/>
  </r>
  <r>
    <s v="COGECOM"/>
    <n v="3095147030"/>
    <s v="VALDIR DA SILVA"/>
    <s v="OUT"/>
    <s v="OUTROS"/>
    <n v="96080299020"/>
    <x v="0"/>
    <s v="4946.91"/>
    <s v="2303.92"/>
    <n v="550"/>
    <s v="SEM INTERESSE"/>
    <s v="NEGOCIAÇÃO VIA TELEFONE"/>
    <n v="0"/>
    <x v="2"/>
    <s v="9.45"/>
    <s v="anakeppe"/>
    <s v="Acima de 361"/>
    <s v="CPC"/>
    <x v="1"/>
  </r>
  <r>
    <s v="COGECOM"/>
    <n v="85580546"/>
    <s v="VANESSA LOPES DE FARIA"/>
    <s v="OUT"/>
    <s v="OUTROS"/>
    <n v="7605658990"/>
    <x v="0"/>
    <s v="891.95"/>
    <s v="137.58"/>
    <n v="551"/>
    <s v="SEM INTERESSE"/>
    <s v="NEGOCIAÇÃO VIA TELEFONE"/>
    <n v="0"/>
    <x v="2"/>
    <s v="11.02"/>
    <s v="anakeppe"/>
    <s v="Acima de 361"/>
    <s v="CPC"/>
    <x v="1"/>
  </r>
  <r>
    <s v="COGECOM"/>
    <n v="3012409454"/>
    <s v="VANESSA REIS DE ALMEIDA"/>
    <s v="OUT"/>
    <s v="OUTROS"/>
    <n v="12088987606"/>
    <x v="0"/>
    <s v="196.07"/>
    <s v="101.81"/>
    <n v="374"/>
    <s v="NÃO LOCALIZADO"/>
    <s v="TELEFONES SEM ATENDIMENTO"/>
    <n v="0"/>
    <x v="2"/>
    <s v="14.19"/>
    <s v="gleise"/>
    <s v="Acima de 361"/>
    <s v="ACIONAMENTO"/>
    <x v="0"/>
  </r>
  <r>
    <s v="COGECOM"/>
    <n v="6141021"/>
    <s v="VIVIANE FARIA DE LIMA"/>
    <s v="OUT"/>
    <s v="OUTROS"/>
    <n v="8194660939"/>
    <x v="0"/>
    <s v="1738.17"/>
    <s v="210.47"/>
    <n v="441"/>
    <s v="NÃO LOCALIZADO"/>
    <s v="TELEFONES SEM ATENDIMENTO"/>
    <n v="0"/>
    <x v="2"/>
    <s v="14.20"/>
    <s v="gleise"/>
    <s v="Acima de 361"/>
    <s v="ACIONAMENTO"/>
    <x v="0"/>
  </r>
  <r>
    <s v="COGECOM"/>
    <n v="10018563641"/>
    <s v="WESLEY RODRIGUES DA CRUZ"/>
    <s v="OUT"/>
    <s v="OUTROS"/>
    <n v="96410825153"/>
    <x v="0"/>
    <s v="103.76"/>
    <s v="43.25"/>
    <n v="334"/>
    <s v="NÃO LOCALIZADO"/>
    <s v="TELEFONES SEM ATENDIMENTO"/>
    <n v="0"/>
    <x v="2"/>
    <s v="14.20"/>
    <s v="gleise"/>
    <s v="181 a 360"/>
    <s v="ACIONAMENTO"/>
    <x v="0"/>
  </r>
  <r>
    <s v="COGECOM"/>
    <n v="3093291719"/>
    <s v="JOAO ANTONIO DE OLIVEIRA"/>
    <s v="OUT"/>
    <s v="OUTROS"/>
    <n v="50541340000"/>
    <x v="0"/>
    <s v="840.13"/>
    <s v="947.58"/>
    <n v="359"/>
    <s v="NÃO LOCALIZADO"/>
    <s v="TELEFONES SEM ATENDIMENTO"/>
    <n v="0"/>
    <x v="2"/>
    <s v="14.21"/>
    <s v="gleise"/>
    <s v="181 a 360"/>
    <s v="ACIONAMENTO"/>
    <x v="0"/>
  </r>
  <r>
    <s v="COGECOM"/>
    <n v="26965217"/>
    <s v="GIACOMO VICENTE PERCIAVALLE"/>
    <s v="OUT"/>
    <s v="OUTROS"/>
    <n v="6360337835"/>
    <x v="0"/>
    <s v="1770.33"/>
    <s v="906.99"/>
    <n v="252"/>
    <s v="NÃO LOCALIZADO"/>
    <s v="TELEFONES SEM ATENDIMENTO"/>
    <n v="0"/>
    <x v="2"/>
    <s v="11.21"/>
    <s v="gleise"/>
    <s v="181 a 360"/>
    <s v="ACIONAMENTO"/>
    <x v="0"/>
  </r>
  <r>
    <s v="COGECOM"/>
    <n v="2436604"/>
    <s v="JONAS CORREIA"/>
    <s v="OUT"/>
    <s v="OUTROS"/>
    <n v="35043126000128"/>
    <x v="0"/>
    <s v="808.62"/>
    <s v="808.62"/>
    <n v="252"/>
    <s v="NÃO LOCALIZADO"/>
    <s v="TELEFONES SEM ATENDIMENTO"/>
    <n v="0"/>
    <x v="2"/>
    <s v="14.23"/>
    <s v="gleise"/>
    <s v="181 a 360"/>
    <s v="ACIONAMENTO"/>
    <x v="0"/>
  </r>
  <r>
    <s v="COGECOM"/>
    <n v="2724596"/>
    <s v="MARCELO DE TOLEDO MANDELLI"/>
    <s v="OUT"/>
    <s v="OUTROS"/>
    <n v="96650176915"/>
    <x v="0"/>
    <s v="2461.62"/>
    <s v="636.05"/>
    <n v="293"/>
    <s v="SEM INTERESSE"/>
    <s v="NEGOCIAÇÃO VIA TELEFONE"/>
    <n v="0"/>
    <x v="2"/>
    <s v="11.27"/>
    <s v="anakeppe"/>
    <s v="181 a 360"/>
    <s v="CPC"/>
    <x v="1"/>
  </r>
  <r>
    <s v="COGECOM"/>
    <n v="26895812"/>
    <s v="DILSON ROGERIO SARTORI"/>
    <s v="OUT"/>
    <s v="OUTROS"/>
    <n v="43293905900"/>
    <x v="0"/>
    <s v="1009.06"/>
    <s v="487.20"/>
    <n v="186"/>
    <s v="AG RESPOSTA 1º CONTATO"/>
    <s v="ENVIADO MSG/E-MAIL 1º CONTATO"/>
    <n v="0"/>
    <x v="2"/>
    <s v="9.12"/>
    <s v="l.quadros"/>
    <s v="181 a 360"/>
    <s v="ACIONAMENTO"/>
    <x v="4"/>
  </r>
  <r>
    <s v="COGECOM"/>
    <n v="26497859"/>
    <s v="DINIZAR DOMINGUES"/>
    <s v="OUT"/>
    <s v="OUTROS"/>
    <n v="54107539920"/>
    <x v="0"/>
    <s v="788.66"/>
    <s v="404.10"/>
    <n v="178"/>
    <s v="NÃO LOCALIZADO"/>
    <s v="TELEFONES SEM ATENDIMENTO"/>
    <n v="0"/>
    <x v="2"/>
    <s v="14.22"/>
    <s v="gleise"/>
    <s v="91 a 180"/>
    <s v="ACIONAMENTO"/>
    <x v="0"/>
  </r>
  <r>
    <s v="COGECOM"/>
    <n v="18320240"/>
    <s v="NATALIA BERTO BRUNETO"/>
    <s v="OUT"/>
    <s v="OUTROS"/>
    <n v="7841274920"/>
    <x v="0"/>
    <s v="506.80"/>
    <s v="343.57"/>
    <n v="189"/>
    <s v="NÃO LOCALIZADO"/>
    <s v="TELEFONES SEM ATENDIMENTO"/>
    <n v="0"/>
    <x v="2"/>
    <s v="10.37"/>
    <s v="gleise"/>
    <s v="181 a 360"/>
    <s v="ACIONAMENTO"/>
    <x v="0"/>
  </r>
  <r>
    <s v="COGECOM"/>
    <n v="3011119781"/>
    <s v="SEBASTIAO ALVES DOS SANTOS"/>
    <s v="OUT"/>
    <s v="OUTROS"/>
    <n v="54229707649"/>
    <x v="0"/>
    <s v="347.23"/>
    <s v="261.90"/>
    <n v="165"/>
    <s v="EM NEGOCIAÇÃO"/>
    <s v="NEGOCIAÇÃO VIA TELEFONE"/>
    <n v="0"/>
    <x v="2"/>
    <s v="14.26"/>
    <s v="gleise"/>
    <s v="91 a 180"/>
    <s v="CPC"/>
    <x v="2"/>
  </r>
  <r>
    <s v="COGECOM"/>
    <n v="10914337"/>
    <s v="FABIO AMARAL CORREA"/>
    <s v="OUT"/>
    <s v="OUTROS"/>
    <n v="1666324906"/>
    <x v="0"/>
    <s v="836.16"/>
    <s v="255.45"/>
    <n v="183"/>
    <s v="NÃO LOCALIZADO"/>
    <s v="TELEFONES SEM ATENDIMENTO"/>
    <n v="0"/>
    <x v="2"/>
    <s v="11.43"/>
    <s v="gleise"/>
    <s v="181 a 360"/>
    <s v="ACIONAMENTO"/>
    <x v="0"/>
  </r>
  <r>
    <s v="COGECOM"/>
    <n v="10019101064"/>
    <s v="JOSE HUMBERTO SILVA MOREIRA"/>
    <s v="OUT"/>
    <s v="OUTROS"/>
    <n v="84593377153"/>
    <x v="0"/>
    <s v="455.09"/>
    <s v="115.02"/>
    <n v="186"/>
    <s v="NÃO LOCALIZADO"/>
    <s v="TELEFONES SEM ATENDIMENTO"/>
    <n v="0"/>
    <x v="2"/>
    <s v="14.27"/>
    <s v="gleise"/>
    <s v="181 a 360"/>
    <s v="ACIONAMENTO"/>
    <x v="0"/>
  </r>
  <r>
    <s v="COGECOM"/>
    <n v="3095751042"/>
    <s v="ADRIANA DE OLIVEIRA LEIPNITZ HERTCERT"/>
    <s v="OUT"/>
    <s v="OUTROS"/>
    <n v="81229003053"/>
    <x v="0"/>
    <s v="218.16"/>
    <s v="76.29"/>
    <n v="177"/>
    <s v="NÃO LOCALIZADO"/>
    <s v="TELEFONES SEM ATENDIMENTO"/>
    <n v="0"/>
    <x v="2"/>
    <s v="9.44"/>
    <s v="gleise"/>
    <s v="91 a 180"/>
    <s v="ACIONAMENTO"/>
    <x v="0"/>
  </r>
  <r>
    <s v="COGECOM"/>
    <n v="730098515"/>
    <s v="MEGA GASES LTDA"/>
    <s v="OUT"/>
    <s v="OUTROS"/>
    <n v="22170894000109"/>
    <x v="0"/>
    <s v="644.20"/>
    <s v="147.51"/>
    <n v="159"/>
    <s v="NÃO LOCALIZADO"/>
    <s v="TELEFONES SEM ATENDIMENTO"/>
    <n v="0"/>
    <x v="2"/>
    <s v="14.28"/>
    <s v="gleise"/>
    <s v="91 a 180"/>
    <s v="ACIONAMENTO"/>
    <x v="0"/>
  </r>
  <r>
    <s v="COGECOM"/>
    <n v="10011030389"/>
    <s v="ROSSANA GONCALVES DE OLIVEIRA BUENO"/>
    <s v="OUT"/>
    <s v="OUTROS"/>
    <n v="35971223100"/>
    <x v="0"/>
    <s v="295.46"/>
    <s v="226.07"/>
    <n v="146"/>
    <s v="NÃO LOCALIZADO"/>
    <s v="TELEFONES SEM ATENDIMENTO"/>
    <n v="0"/>
    <x v="2"/>
    <s v="14.29"/>
    <s v="gleise"/>
    <s v="91 a 180"/>
    <s v="ACIONAMENTO"/>
    <x v="0"/>
  </r>
  <r>
    <s v="COGECOM"/>
    <n v="10022471527"/>
    <s v="LARISSA FRANCO SILVA"/>
    <s v="OUT"/>
    <s v="OUTROS"/>
    <n v="2492403190"/>
    <x v="0"/>
    <s v="263.03"/>
    <s v="287.54"/>
    <n v="175"/>
    <s v="NÃO LOCALIZADO"/>
    <s v="TELEFONES SEM ATENDIMENTO"/>
    <n v="0"/>
    <x v="2"/>
    <s v="14.30"/>
    <s v="gleise"/>
    <s v="91 a 180"/>
    <s v="ACIONAMENTO"/>
    <x v="0"/>
  </r>
  <r>
    <s v="COGECOM"/>
    <n v="2860017167"/>
    <s v="DENISE BRASIL MENEZES"/>
    <s v="OUT"/>
    <s v="OUTROS"/>
    <n v="69386102153"/>
    <x v="0"/>
    <s v="0.00"/>
    <s v="242.59"/>
    <n v="175"/>
    <s v="SEM INTERESSE"/>
    <s v="NEGOCIAÇÃO VIA TELEFONE"/>
    <n v="0"/>
    <x v="2"/>
    <s v="14.32"/>
    <s v="gleise"/>
    <s v="91 a 180"/>
    <s v="CPC"/>
    <x v="1"/>
  </r>
  <r>
    <s v="COGECOM"/>
    <n v="3085664552"/>
    <s v="ADEMIR PICININI"/>
    <s v="OUT"/>
    <s v="OUTROS"/>
    <n v="93579128000"/>
    <x v="0"/>
    <s v="2061.42"/>
    <s v="190.04"/>
    <n v="278"/>
    <s v="SEM INTERESSE"/>
    <s v="NEGOCIAÇÃO VIA TELEFONE"/>
    <n v="0"/>
    <x v="2"/>
    <s v="11.58"/>
    <s v="gleise"/>
    <s v="181 a 360"/>
    <s v="CPC"/>
    <x v="1"/>
  </r>
  <r>
    <s v="COGECOM"/>
    <n v="3083327953"/>
    <s v="NATAMIS MARCHI"/>
    <s v="OUT"/>
    <s v="OUTROS"/>
    <n v="2578547033"/>
    <x v="0"/>
    <s v="85.73"/>
    <s v="85.73"/>
    <n v="170"/>
    <s v="AG RESPOSTA 1º CONTATO"/>
    <s v="ENVIADO MSG/E-MAIL 1º CONTATO"/>
    <n v="0"/>
    <x v="2"/>
    <s v="14.37"/>
    <s v="l.quadros"/>
    <s v="91 a 180"/>
    <s v="ACIONAMENTO"/>
    <x v="4"/>
  </r>
  <r>
    <s v="COGECOM"/>
    <n v="26972329"/>
    <s v="DOMINOS PIZZA BC FAST FOOD LTDA ME"/>
    <s v="OUT"/>
    <s v="OUTROS"/>
    <n v="26660056000166"/>
    <x v="0"/>
    <s v="549.66"/>
    <s v="549.66"/>
    <n v="316"/>
    <s v="NÃO LOCALIZADO"/>
    <s v="TELEFONES SEM ATENDIMENTO"/>
    <n v="0"/>
    <x v="2"/>
    <s v="11.27"/>
    <s v="gleise"/>
    <s v="181 a 360"/>
    <s v="ACIONAMENTO"/>
    <x v="0"/>
  </r>
  <r>
    <s v="COGECOM"/>
    <n v="47678188"/>
    <s v="MARLUSE RIBEIRO"/>
    <s v="OUT"/>
    <s v="OUTROS"/>
    <n v="6606212901"/>
    <x v="0"/>
    <s v="871.57"/>
    <s v="411.48"/>
    <n v="353"/>
    <s v="NÃO LOCALIZADO"/>
    <s v="TELEFONES SEM ATENDIMENTO"/>
    <n v="0"/>
    <x v="2"/>
    <s v="11.33"/>
    <s v="gleise"/>
    <s v="181 a 360"/>
    <s v="ACIONAMENTO"/>
    <x v="0"/>
  </r>
  <r>
    <s v="COGECOM"/>
    <n v="22115871"/>
    <s v="ADRIANA SOARES DA SILVA"/>
    <s v="OUT"/>
    <s v="OUTROS"/>
    <n v="93699875920"/>
    <x v="0"/>
    <s v="455.78"/>
    <s v="241.27"/>
    <n v="153"/>
    <s v="NÃO LOCALIZADO"/>
    <s v="TELEFONES SEM ATENDIMENTO"/>
    <n v="0"/>
    <x v="2"/>
    <s v="11.44"/>
    <s v="gleise"/>
    <s v="91 a 180"/>
    <s v="ACIONAMENTO"/>
    <x v="0"/>
  </r>
  <r>
    <s v="COGECOM"/>
    <n v="44744503"/>
    <s v="PAULO HENRIQUE SANTOS"/>
    <s v="OUT"/>
    <s v="OUTROS"/>
    <n v="82066264687"/>
    <x v="0"/>
    <s v="308.58"/>
    <s v="308.58"/>
    <n v="164"/>
    <s v="NÃO LOCALIZADO"/>
    <s v="TELEFONES SEM ATENDIMENTO"/>
    <n v="0"/>
    <x v="2"/>
    <s v="11.37"/>
    <s v="gleise"/>
    <s v="91 a 180"/>
    <s v="ACIONAMENTO"/>
    <x v="0"/>
  </r>
  <r>
    <s v="COGECOM"/>
    <n v="50304356"/>
    <s v="AYRTON DE PAULA JUNIOR"/>
    <s v="OUT"/>
    <s v="OUTROS"/>
    <n v="536033978"/>
    <x v="1"/>
    <s v="0.00"/>
    <s v="78.24"/>
    <n v="159"/>
    <s v="SEM INTERESSE"/>
    <s v="NEGOCIAÇÃO VIA TELEFONE"/>
    <n v="0"/>
    <x v="2"/>
    <s v="14.34"/>
    <s v="gleise"/>
    <s v="91 a 180"/>
    <s v="CPC"/>
    <x v="1"/>
  </r>
  <r>
    <s v="COGECOM"/>
    <n v="93354673"/>
    <s v="JF SOUZA COMÉRCIO DE ALIMENTOS LTDA"/>
    <s v="OUT"/>
    <s v="OUTROS"/>
    <n v="17467146000144"/>
    <x v="0"/>
    <s v="9778.29"/>
    <s v="311.89"/>
    <n v="262"/>
    <s v="AG RESPOSTA 1º CONTATO"/>
    <s v="ENVIADO MSG/E-MAIL 1º CONTATO"/>
    <n v="0"/>
    <x v="2"/>
    <s v="10.46"/>
    <s v="l.quadros"/>
    <s v="181 a 360"/>
    <s v="ACIONAMENTO"/>
    <x v="4"/>
  </r>
  <r>
    <s v="COGECOM"/>
    <n v="3012298026"/>
    <s v="JANAINA MARIA DA SILVA"/>
    <s v="OUT"/>
    <s v="OUTROS"/>
    <n v="10802241654"/>
    <x v="0"/>
    <s v="6626.02"/>
    <s v="2694.37"/>
    <n v="368"/>
    <s v="NÃO LOCALIZADO"/>
    <s v="TELEFONES SEM ATENDIMENTO"/>
    <n v="0"/>
    <x v="2"/>
    <s v="14.36"/>
    <s v="gleise"/>
    <s v="Acima de 361"/>
    <s v="ACIONAMENTO"/>
    <x v="0"/>
  </r>
  <r>
    <s v="COGECOM"/>
    <n v="3012478502"/>
    <s v="CLEONICE MARIA NASCIMENTO"/>
    <s v="OUT"/>
    <s v="OUTROS"/>
    <n v="3715521686"/>
    <x v="0"/>
    <s v="228.71"/>
    <s v="116.60"/>
    <n v="155"/>
    <s v="NÃO LOCALIZADO"/>
    <s v="TELEFONES SEM ATENDIMENTO"/>
    <n v="0"/>
    <x v="2"/>
    <s v="14.36"/>
    <s v="gleise"/>
    <s v="91 a 180"/>
    <s v="ACIONAMENTO"/>
    <x v="0"/>
  </r>
  <r>
    <s v="COGECOM"/>
    <n v="3003118454"/>
    <s v="CONSELHO P FREDERICO OZANAM"/>
    <s v="OUT"/>
    <s v="OUTROS"/>
    <n v="19015817000161"/>
    <x v="0"/>
    <s v="1492.46"/>
    <s v="440.88"/>
    <n v="154"/>
    <s v="NÃO LOCALIZADO"/>
    <s v="TELEFONES SEM ATENDIMENTO"/>
    <n v="0"/>
    <x v="2"/>
    <s v="14.40"/>
    <s v="gleise"/>
    <s v="91 a 180"/>
    <s v="ACIONAMENTO"/>
    <x v="0"/>
  </r>
  <r>
    <s v="COGECOM"/>
    <n v="3013293987"/>
    <s v="CRISTIANO DA SILVA CARVALHO"/>
    <s v="OUT"/>
    <s v="OUTROS"/>
    <n v="7590049603"/>
    <x v="0"/>
    <s v="653.18"/>
    <s v="206.32"/>
    <n v="154"/>
    <s v="NÃO LOCALIZADO"/>
    <s v="TELEFONES SEM ATENDIMENTO"/>
    <n v="0"/>
    <x v="2"/>
    <s v="14.37"/>
    <s v="gleise"/>
    <s v="91 a 180"/>
    <s v="ACIONAMENTO"/>
    <x v="0"/>
  </r>
  <r>
    <s v="COGECOM"/>
    <n v="73895970"/>
    <s v="MARIANA JOANA DOS SANTOS"/>
    <s v="OUT"/>
    <s v="OUTROS"/>
    <n v="7243132901"/>
    <x v="0"/>
    <s v="802.71"/>
    <s v="802.71"/>
    <n v="138"/>
    <s v="NÃO LOCALIZADO"/>
    <s v="TELEFONES SEM ATENDIMENTO"/>
    <n v="0"/>
    <x v="2"/>
    <s v="9.52"/>
    <s v="gleise"/>
    <s v="91 a 180"/>
    <s v="ACIONAMENTO"/>
    <x v="0"/>
  </r>
  <r>
    <s v="COGECOM"/>
    <n v="73136182"/>
    <s v="FERNANDO TEIXEIRA"/>
    <s v="OUT"/>
    <s v="OUTROS"/>
    <n v="2871177902"/>
    <x v="1"/>
    <s v="0.00"/>
    <s v="333.25"/>
    <n v="123"/>
    <s v="NÃO LOCALIZADO"/>
    <s v="TELEFONES SEM ATENDIMENTO"/>
    <n v="0"/>
    <x v="2"/>
    <s v="14.39"/>
    <s v="gleise"/>
    <s v="91 a 180"/>
    <s v="ACIONAMENTO"/>
    <x v="0"/>
  </r>
  <r>
    <s v="COGECOM"/>
    <n v="140118792"/>
    <s v="LAURA REJANE DE OLIVEIRA"/>
    <s v="OUT"/>
    <s v="OUTROS"/>
    <n v="79056610163"/>
    <x v="0"/>
    <s v="207.52"/>
    <s v="207.52"/>
    <n v="139"/>
    <s v="AG RESPOSTA 1º CONTATO"/>
    <s v="ENVIADO MSG/E-MAIL 1º CONTATO"/>
    <n v="0"/>
    <x v="2"/>
    <s v="11.31"/>
    <s v="l.quadros"/>
    <s v="91 a 180"/>
    <s v="ACIONAMENTO"/>
    <x v="4"/>
  </r>
  <r>
    <s v="COGECOM"/>
    <n v="93777256"/>
    <s v="DIORGENES JARSKI"/>
    <s v="OUT"/>
    <s v="OUTROS"/>
    <n v="5598210932"/>
    <x v="0"/>
    <s v="183.72"/>
    <s v="183.72"/>
    <n v="135"/>
    <s v="NÃO LOCALIZADO"/>
    <s v="TELEFONES SEM ATENDIMENTO"/>
    <n v="0"/>
    <x v="2"/>
    <s v="14.41"/>
    <s v="gleise"/>
    <s v="91 a 180"/>
    <s v="ACIONAMENTO"/>
    <x v="0"/>
  </r>
  <r>
    <s v="COGECOM"/>
    <n v="10034962423"/>
    <s v="THIAGO LIMA DOS SANTOS"/>
    <s v="OUT"/>
    <s v="OUTROS"/>
    <n v="92041400200"/>
    <x v="0"/>
    <s v="355.91"/>
    <s v="130.20"/>
    <n v="141"/>
    <s v="NÃO LOCALIZADO"/>
    <s v="TELEFONES SEM ATENDIMENTO"/>
    <n v="0"/>
    <x v="2"/>
    <s v="11.03"/>
    <s v="gleise"/>
    <s v="91 a 180"/>
    <s v="ACIONAMENTO"/>
    <x v="0"/>
  </r>
  <r>
    <s v="COGECOM"/>
    <n v="3003221289"/>
    <s v="ELZA ALVES NOGUEIRA"/>
    <s v="OUT"/>
    <s v="OUTROS"/>
    <n v="67326943834"/>
    <x v="0"/>
    <s v="203.18"/>
    <s v="117.95"/>
    <n v="145"/>
    <s v="AG RESPOSTA 1º CONTATO"/>
    <s v="GERAÇÃO DE ACORDO"/>
    <n v="0"/>
    <x v="2"/>
    <s v="10.31"/>
    <s v="l.quadros"/>
    <s v="91 a 180"/>
    <s v="CPC"/>
    <x v="4"/>
  </r>
  <r>
    <s v="COGECOM"/>
    <n v="3004157489"/>
    <s v="ADRIANA CRISTINA DA CRUZ"/>
    <s v="OUT"/>
    <s v="OUTROS"/>
    <n v="78217903620"/>
    <x v="0"/>
    <s v="116.85"/>
    <s v="116.85"/>
    <n v="148"/>
    <s v="SEM INTERESSE"/>
    <s v="NEGOCIAÇÃO VIA TELEFONE"/>
    <n v="0"/>
    <x v="2"/>
    <s v="11.05"/>
    <s v="gleise"/>
    <s v="91 a 180"/>
    <s v="CPC"/>
    <x v="1"/>
  </r>
  <r>
    <s v="COGECOM"/>
    <n v="20759127"/>
    <s v="ELOISA MACIEL MONTEIRO"/>
    <s v="OUT"/>
    <s v="OUTROS"/>
    <n v="5604990"/>
    <x v="0"/>
    <s v="284.91"/>
    <s v="103.08"/>
    <n v="126"/>
    <s v="SEM INTERESSE"/>
    <s v="NEGOCIAÇÃO VIA WHATSAPP"/>
    <n v="0"/>
    <x v="2"/>
    <s v="13.27"/>
    <s v="l.quadros"/>
    <s v="91 a 180"/>
    <s v="CPC"/>
    <x v="1"/>
  </r>
  <r>
    <s v="COGECOM"/>
    <n v="52931886"/>
    <s v="CLODOALDO JOSE MARTINS"/>
    <s v="OUT"/>
    <s v="OUTROS"/>
    <n v="71301500925"/>
    <x v="0"/>
    <s v="1105.09"/>
    <s v="87.47"/>
    <n v="160"/>
    <s v="NÃO LOCALIZADO"/>
    <s v="TELEFONES SEM ATENDIMENTO"/>
    <n v="0"/>
    <x v="2"/>
    <s v="11.08"/>
    <s v="gleise"/>
    <s v="91 a 180"/>
    <s v="ACIONAMENTO"/>
    <x v="0"/>
  </r>
  <r>
    <s v="COGECOM"/>
    <n v="11806655"/>
    <s v="EBER SOARES DA COSTA"/>
    <s v="OUT"/>
    <s v="OUTROS"/>
    <n v="13001573805"/>
    <x v="0"/>
    <s v="299.15"/>
    <s v="85.63"/>
    <n v="146"/>
    <s v="NÃO LOCALIZADO"/>
    <s v="TELEFONES SEM ATENDIMENTO"/>
    <n v="0"/>
    <x v="2"/>
    <s v="14.41"/>
    <s v="gleise"/>
    <s v="91 a 180"/>
    <s v="ACIONAMENTO"/>
    <x v="0"/>
  </r>
  <r>
    <s v="COGECOM"/>
    <n v="20444539"/>
    <s v="BIANCA FLORENCIO DA SILVA"/>
    <s v="OUT"/>
    <s v="OUTROS"/>
    <n v="95902430100"/>
    <x v="0"/>
    <s v="321.82"/>
    <s v="73.36"/>
    <n v="151"/>
    <s v="SEM INTERESSE"/>
    <s v="NEGOCIAÇÃO VIA TELEFONE"/>
    <n v="0"/>
    <x v="2"/>
    <s v="14.45"/>
    <s v="gleise"/>
    <s v="91 a 180"/>
    <s v="CPC"/>
    <x v="1"/>
  </r>
  <r>
    <s v="COGECOM"/>
    <n v="3013092041"/>
    <s v="DANILO CALACIO DA SILVA"/>
    <s v="OUT"/>
    <s v="OUTROS"/>
    <n v="7468607656"/>
    <x v="0"/>
    <s v="219.70"/>
    <s v="71.25"/>
    <n v="140"/>
    <s v="AG RESPOSTA 1º CONTATO"/>
    <s v="ENVIADO MSG/E-MAIL 1º CONTATO"/>
    <n v="0"/>
    <x v="2"/>
    <s v="13.49"/>
    <s v="l.quadros"/>
    <s v="91 a 180"/>
    <s v="ACIONAMENTO"/>
    <x v="4"/>
  </r>
  <r>
    <s v="COGECOM"/>
    <n v="3082920104"/>
    <s v="MAIQUEL VINICIUS DA   FONSECA"/>
    <s v="OUT"/>
    <s v="OUTROS"/>
    <n v="82092451049"/>
    <x v="0"/>
    <s v="362.94"/>
    <s v="220.18"/>
    <n v="90"/>
    <s v="NÃO LOCALIZADO"/>
    <s v="TELEFONES SEM ATENDIMENTO"/>
    <n v="0"/>
    <x v="2"/>
    <s v="11.52"/>
    <s v="gleise"/>
    <s v="61 a 90"/>
    <s v="ACIONAMENTO"/>
    <x v="0"/>
  </r>
  <r>
    <s v="COGECOM"/>
    <n v="3082854777"/>
    <s v="ANDREA SIMONE CARDOSO"/>
    <s v="OUT"/>
    <s v="OUTROS"/>
    <n v="58280065091"/>
    <x v="0"/>
    <s v="283.75"/>
    <s v="283.75"/>
    <n v="90"/>
    <s v="NÃO LOCALIZADO"/>
    <s v="TELEFONES SEM ATENDIMENTO"/>
    <n v="0"/>
    <x v="2"/>
    <s v="10.38"/>
    <s v="gleise"/>
    <s v="61 a 90"/>
    <s v="ACIONAMENTO"/>
    <x v="0"/>
  </r>
  <r>
    <s v="COGECOM"/>
    <n v="3080754983"/>
    <s v="JANE MARIA MENEZES SEVERO"/>
    <s v="OUT"/>
    <s v="OUTROS"/>
    <n v="53700937091"/>
    <x v="0"/>
    <s v="353.85"/>
    <s v="167.31"/>
    <n v="90"/>
    <s v="AG RESPOSTA 1º CONTATO"/>
    <s v="ENVIADO MSG/E-MAIL 1º CONTATO"/>
    <n v="0"/>
    <x v="2"/>
    <s v="14.47"/>
    <s v="l.quadros"/>
    <s v="61 a 90"/>
    <s v="ACIONAMENTO"/>
    <x v="4"/>
  </r>
  <r>
    <s v="COGECOM"/>
    <n v="76341437"/>
    <s v="SANDRA REGINA RIBEIRO DE ANDRADE"/>
    <s v="OUT"/>
    <s v="OUTROS"/>
    <n v="2346554960"/>
    <x v="0"/>
    <s v="986.83"/>
    <s v="321.55"/>
    <n v="136"/>
    <s v="NÃO LOCALIZADO"/>
    <s v="TELEFONES SEM ATENDIMENTO"/>
    <n v="0"/>
    <x v="2"/>
    <s v="14.47"/>
    <s v="gleise"/>
    <s v="91 a 180"/>
    <s v="ACIONAMENTO"/>
    <x v="0"/>
  </r>
  <r>
    <s v="COGECOM"/>
    <n v="39110826"/>
    <s v="PEDRO PAULO PEREIRA JUNIOR"/>
    <s v="OUT"/>
    <s v="OUTROS"/>
    <n v="56862652915"/>
    <x v="1"/>
    <s v="0.00"/>
    <s v="96.90"/>
    <n v="101"/>
    <s v="SEM INTERESSE"/>
    <s v="NEGOCIAÇÃO VIA TELEFONE"/>
    <n v="0"/>
    <x v="2"/>
    <s v="10.24"/>
    <s v="anakeppe"/>
    <s v="91 a 180"/>
    <s v="CPC"/>
    <x v="1"/>
  </r>
  <r>
    <s v="COGECOM"/>
    <n v="4000154081"/>
    <s v="GISLAINE MOI FERREIRA"/>
    <s v="OUT"/>
    <s v="OUTROS"/>
    <n v="36097494823"/>
    <x v="0"/>
    <s v="325.55"/>
    <s v="167.52"/>
    <n v="90"/>
    <s v="NÃO LOCALIZADO"/>
    <s v="TELEFONES SEM ATENDIMENTO"/>
    <n v="0"/>
    <x v="2"/>
    <s v="12.59"/>
    <s v="gleise"/>
    <s v="61 a 90"/>
    <s v="ACIONAMENTO"/>
    <x v="0"/>
  </r>
  <r>
    <s v="COGECOM"/>
    <n v="120038602"/>
    <s v="PAULO CRISTIANO ALMEIDA ROCHA"/>
    <s v="OUT"/>
    <s v="OUTROS"/>
    <n v="17014590510"/>
    <x v="0"/>
    <s v="274.27"/>
    <s v="274.27"/>
    <n v="101"/>
    <s v="NÃO LOCALIZADO"/>
    <s v="TELEFONES SEM ATENDIMENTO"/>
    <n v="0"/>
    <x v="2"/>
    <s v="14.47"/>
    <s v="gleise"/>
    <s v="91 a 180"/>
    <s v="ACIONAMENTO"/>
    <x v="0"/>
  </r>
  <r>
    <s v="COGECOM"/>
    <n v="48591750"/>
    <s v="CELSO LEOCADIO PEREIRA"/>
    <s v="OUT"/>
    <s v="OUTROS"/>
    <n v="53036158987"/>
    <x v="0"/>
    <s v="1701.52"/>
    <s v="782.60"/>
    <n v="92"/>
    <s v="NÃO LOCALIZADO"/>
    <s v="TELEFONES SEM ATENDIMENTO"/>
    <n v="0"/>
    <x v="2"/>
    <s v="11.23"/>
    <s v="gleise"/>
    <s v="91 a 180"/>
    <s v="ACIONAMENTO"/>
    <x v="0"/>
  </r>
  <r>
    <s v="COGECOM"/>
    <n v="3000614720"/>
    <s v="MASCHMELLOW COMÉRCIO DE MODAS LTDA"/>
    <s v="OUT"/>
    <s v="OUTROS"/>
    <n v="1093867000100"/>
    <x v="0"/>
    <s v="3463.89"/>
    <s v="3463.89"/>
    <n v="259"/>
    <s v="SEM INTERESSE"/>
    <s v="NEGOCIAÇÃO VIA TELEFONE"/>
    <n v="0"/>
    <x v="2"/>
    <s v="10.22"/>
    <s v="anakeppe"/>
    <s v="181 a 360"/>
    <s v="CPC"/>
    <x v="1"/>
  </r>
  <r>
    <s v="COGECOM"/>
    <n v="8012890"/>
    <s v="JOAO CARLOS SERAVALI"/>
    <s v="OUT"/>
    <s v="OUTROS"/>
    <n v="27827992900"/>
    <x v="0"/>
    <s v="924.47"/>
    <s v="924.47"/>
    <n v="177"/>
    <s v="NÃO LOCALIZADO"/>
    <s v="TELEFONES SEM ATENDIMENTO"/>
    <n v="0"/>
    <x v="2"/>
    <s v="14.48"/>
    <s v="gleise"/>
    <s v="91 a 180"/>
    <s v="ACIONAMENTO"/>
    <x v="0"/>
  </r>
  <r>
    <s v="COGECOM"/>
    <n v="77763084"/>
    <s v="TIAGO LIMA DE FRAGA"/>
    <s v="OUT"/>
    <s v="OUTROS"/>
    <n v="93955014053"/>
    <x v="0"/>
    <s v="858.71"/>
    <s v="858.71"/>
    <n v="182"/>
    <s v="NÃO LOCALIZADO"/>
    <s v="TELEFONES SEM ATENDIMENTO"/>
    <n v="0"/>
    <x v="2"/>
    <s v="14.50"/>
    <s v="gleise"/>
    <s v="181 a 360"/>
    <s v="ACIONAMENTO"/>
    <x v="0"/>
  </r>
  <r>
    <s v="COGECOM"/>
    <n v="27982211"/>
    <s v="MARIA ZELIA MIRANDA"/>
    <s v="OUT"/>
    <s v="OUTROS"/>
    <n v="1888969962"/>
    <x v="0"/>
    <s v="3496.96"/>
    <s v="968.91"/>
    <n v="185"/>
    <s v="AG RESPOSTA 1º CONTATO"/>
    <s v="ENVIADO MSG/E-MAIL 1º CONTATO"/>
    <n v="0"/>
    <x v="2"/>
    <s v="9.22"/>
    <s v="l.quadros"/>
    <s v="181 a 360"/>
    <s v="ACIONAMENTO"/>
    <x v="4"/>
  </r>
  <r>
    <s v="COGECOM"/>
    <n v="79666256"/>
    <s v="ELISEU PEREIRA DOS SANTOS"/>
    <s v="OUT"/>
    <s v="OUTROS"/>
    <n v="77354028991"/>
    <x v="0"/>
    <s v="573.23"/>
    <s v="573.23"/>
    <n v="162"/>
    <s v="NÃO LOCALIZADO"/>
    <s v="TELEFONES SEM ATENDIMENTO"/>
    <n v="0"/>
    <x v="2"/>
    <s v="14.49"/>
    <s v="gleise"/>
    <s v="91 a 180"/>
    <s v="ACIONAMENTO"/>
    <x v="0"/>
  </r>
  <r>
    <s v="COGECOM"/>
    <n v="3011028287"/>
    <s v="LORANE FAGUNDES CAETANO"/>
    <s v="OUT"/>
    <s v="OUTROS"/>
    <n v="6884406658"/>
    <x v="0"/>
    <s v="1144.63"/>
    <s v="430.16"/>
    <n v="148"/>
    <s v="AG RESPOSTA 1º CONTATO"/>
    <s v="ENVIADO MSG/E-MAIL 1º CONTATO"/>
    <n v="0"/>
    <x v="2"/>
    <s v="14.57"/>
    <s v="l.quadros"/>
    <s v="91 a 180"/>
    <s v="ACIONAMENTO"/>
    <x v="4"/>
  </r>
  <r>
    <s v="COGECOM"/>
    <n v="3093304133"/>
    <s v="RAFAEL LOSS BALDASSARI"/>
    <s v="OUT"/>
    <s v="OUTROS"/>
    <n v="1508079021"/>
    <x v="0"/>
    <s v="1024.96"/>
    <s v="472.99"/>
    <n v="146"/>
    <m/>
    <s v="SOLICITAR EXTINÇÃO DA AÇÃO"/>
    <n v="9999"/>
    <x v="2"/>
    <s v="14.50"/>
    <s v="gleise"/>
    <s v="91 a 180"/>
    <s v="ACIONAMENTO"/>
    <x v="4"/>
  </r>
  <r>
    <s v="COGECOM"/>
    <n v="84920408"/>
    <s v="SANTIAGO KALEO LAURENTINO PEREIRA E CIA LTDA"/>
    <s v="OUT"/>
    <s v="OUTROS"/>
    <n v="12760461000141"/>
    <x v="1"/>
    <s v="0.00"/>
    <s v="2448.62"/>
    <n v="103"/>
    <s v="ACORDO VIGENTE COLCHÃO EM DIA"/>
    <s v="ALTERACAO DEBITO"/>
    <n v="0"/>
    <x v="2"/>
    <s v="12.50"/>
    <s v="elizabel"/>
    <s v="91 a 180"/>
    <s v="ACIONAMENTO"/>
    <x v="2"/>
  </r>
  <r>
    <s v="COGECOM"/>
    <n v="170098345"/>
    <s v="JOAO ALBERTO DAS DORES"/>
    <s v="OUT"/>
    <s v="OUTROS"/>
    <n v="13025384115"/>
    <x v="0"/>
    <s v="106.41"/>
    <s v="37.02"/>
    <n v="73"/>
    <s v="SEM INTERESSE"/>
    <s v="NEGOCIAÇÃO VIA TELEFONE"/>
    <n v="0"/>
    <x v="2"/>
    <s v="9.25"/>
    <s v="gleise"/>
    <s v="61 a 90"/>
    <s v="CPC"/>
    <x v="1"/>
  </r>
  <r>
    <s v="COGECOM"/>
    <n v="3002646075"/>
    <s v="LUCIENE SOUZA SILVA"/>
    <s v="OUT"/>
    <s v="OUTROS"/>
    <n v="7545102630"/>
    <x v="0"/>
    <s v="247.64"/>
    <s v="110.22"/>
    <n v="70"/>
    <s v="NÃO LOCALIZADO"/>
    <s v="TELEFONES SEM ATENDIMENTO"/>
    <n v="0"/>
    <x v="2"/>
    <s v="9.29"/>
    <s v="gleise"/>
    <s v="61 a 90"/>
    <s v="ACIONAMENTO"/>
    <x v="0"/>
  </r>
  <r>
    <s v="COGECOM"/>
    <n v="10016178520"/>
    <s v="MARIA DE FATIMA DA SILVA CAMPOS FRAZAO"/>
    <s v="OUT"/>
    <s v="OUTROS"/>
    <n v="33041954168"/>
    <x v="0"/>
    <s v="126.23"/>
    <s v="64.11"/>
    <n v="73"/>
    <s v="SEM INTERESSE"/>
    <s v="NEGOCIAÇÃO VIA TELEFONE"/>
    <n v="0"/>
    <x v="2"/>
    <s v="10.20"/>
    <s v="anakeppe"/>
    <s v="61 a 90"/>
    <s v="CPC"/>
    <x v="1"/>
  </r>
  <r>
    <s v="COGECOM"/>
    <n v="15038506"/>
    <s v="MARIA JOSE ALVES BUENO VAZ"/>
    <s v="OUT"/>
    <s v="OUTROS"/>
    <n v="86572547191"/>
    <x v="0"/>
    <s v="68.74"/>
    <s v="68.74"/>
    <n v="73"/>
    <s v="SEM INTERESSE"/>
    <s v="NEGOCIAÇÃO VIA TELEFONE"/>
    <n v="0"/>
    <x v="2"/>
    <s v="11.23"/>
    <s v="anakeppe"/>
    <s v="61 a 90"/>
    <s v="CPC"/>
    <x v="1"/>
  </r>
  <r>
    <s v="COGECOM"/>
    <n v="47924535"/>
    <s v="NILCEO ARIEL SPREA"/>
    <s v="OUT"/>
    <s v="OUTROS"/>
    <n v="1699164991"/>
    <x v="0"/>
    <s v="383.39"/>
    <s v="173.50"/>
    <n v="76"/>
    <s v="EM NEGOCIAÇÃO"/>
    <s v="NEGOCIAÇÃO VIA TELEFONE"/>
    <n v="0"/>
    <x v="2"/>
    <s v="15.25"/>
    <s v="gleise"/>
    <s v="61 a 90"/>
    <s v="CPC"/>
    <x v="2"/>
  </r>
  <r>
    <s v="COGECOM"/>
    <n v="3000293320"/>
    <s v="SILVIA RODRIGUES CAMARGOS"/>
    <s v="OUT"/>
    <s v="OUTROS"/>
    <n v="90535731604"/>
    <x v="0"/>
    <s v="249.65"/>
    <s v="120.18"/>
    <n v="70"/>
    <s v="SEM INTERESSE"/>
    <s v="NEGOCIAÇÃO VIA TELEFONE"/>
    <n v="0"/>
    <x v="2"/>
    <s v="11.03"/>
    <s v="anakeppe"/>
    <s v="61 a 90"/>
    <s v="CPC"/>
    <x v="1"/>
  </r>
  <r>
    <s v="COGECOM"/>
    <n v="55021988"/>
    <s v="ALEX MATEUS CECHET"/>
    <s v="OUT"/>
    <s v="OUTROS"/>
    <n v="1897300050"/>
    <x v="0"/>
    <s v="141.17"/>
    <s v="141.17"/>
    <n v="67"/>
    <s v="AG RESPOSTA 1º CONTATO"/>
    <s v="ENVIADO MSG/E-MAIL 1º CONTATO"/>
    <n v="0"/>
    <x v="2"/>
    <s v="15.34"/>
    <s v="l.quadros"/>
    <s v="61 a 90"/>
    <s v="ACIONAMENTO"/>
    <x v="4"/>
  </r>
  <r>
    <s v="COGECOM"/>
    <n v="3005877968"/>
    <s v="DANIELLE EMILIA DA SILVA MESSIAS"/>
    <s v="OUT"/>
    <s v="OUTROS"/>
    <n v="13324130646"/>
    <x v="0"/>
    <s v="139.72"/>
    <s v="139.72"/>
    <n v="57"/>
    <s v="NÃO LOCALIZADO"/>
    <s v="TELEFONES SEM ATENDIMENTO"/>
    <n v="0"/>
    <x v="2"/>
    <s v="15.25"/>
    <s v="gleise"/>
    <s v="31 a 60"/>
    <s v="ACIONAMENTO"/>
    <x v="0"/>
  </r>
  <r>
    <s v="COGECOM"/>
    <n v="108764087"/>
    <s v="ANDRE LUIZ BATISTA DE MORAIS"/>
    <s v="OUT"/>
    <s v="OUTROS"/>
    <n v="2583007955"/>
    <x v="1"/>
    <s v="0.00"/>
    <s v="3692.12"/>
    <n v="54"/>
    <s v="ACORDO VIGENTE COLCHÃO EM DIA"/>
    <s v="NEGOCIAÇÃO VIA WHATSAPP"/>
    <n v="0"/>
    <x v="2"/>
    <s v="14.40"/>
    <s v="anakeppe"/>
    <s v="31 a 60"/>
    <s v="CPC"/>
    <x v="2"/>
  </r>
  <r>
    <s v="COGECOM"/>
    <n v="41579285"/>
    <s v="PATRICIA DIAS LOPES DE OLIVEIRA"/>
    <s v="OUT"/>
    <s v="OUTROS"/>
    <n v="2859612254"/>
    <x v="0"/>
    <s v="97.60"/>
    <s v="97.60"/>
    <n v="49"/>
    <s v="SEM CONDIÇÕES"/>
    <s v="NEGOCIAÇÃO VIA TELEFONE"/>
    <n v="0"/>
    <x v="2"/>
    <s v="15.30"/>
    <s v="gleise"/>
    <s v="31 a 60"/>
    <s v="CPC"/>
    <x v="3"/>
  </r>
  <r>
    <s v="COGECOM"/>
    <n v="3753417"/>
    <s v="EDISON MARTELLO"/>
    <s v="OUT"/>
    <s v="OUTROS"/>
    <n v="54419204087"/>
    <x v="1"/>
    <s v="1003.38"/>
    <s v="909.89"/>
    <n v="40"/>
    <s v="NÃO LOCALIZADO"/>
    <s v="TELEFONES SEM ATENDIMENTO"/>
    <n v="0"/>
    <x v="2"/>
    <s v="15.32"/>
    <s v="gleise"/>
    <s v="31 a 60"/>
    <s v="ACIONAMENTO"/>
    <x v="0"/>
  </r>
  <r>
    <s v="COGECOM"/>
    <n v="104717904"/>
    <s v="FABIANO DIAS DE OLIVEIRA"/>
    <s v="OUT"/>
    <s v="OUTROS"/>
    <n v="5838079924"/>
    <x v="0"/>
    <s v="60.83"/>
    <s v="60.83"/>
    <n v="39"/>
    <s v="NÃO LOCALIZADO"/>
    <s v="TELEFONES SEM ATENDIMENTO"/>
    <n v="0"/>
    <x v="2"/>
    <s v="11.15"/>
    <s v="gleise"/>
    <s v="31 a 60"/>
    <s v="ACIONAMENTO"/>
    <x v="0"/>
  </r>
  <r>
    <s v="COGECOM"/>
    <n v="112260640"/>
    <s v="ROBERCIO MARTINS DE OLIVEIRA"/>
    <s v="OUT"/>
    <s v="OUTROS"/>
    <n v="4081655960"/>
    <x v="0"/>
    <s v="59.26"/>
    <s v="59.26"/>
    <n v="43"/>
    <s v="ACORDO VIGENTE COLCHÃO EM DIA"/>
    <s v="NEGOCIAÇÃO VIA TELEFONE"/>
    <n v="0"/>
    <x v="2"/>
    <s v="15.36"/>
    <s v="gleise"/>
    <s v="31 a 60"/>
    <s v="CPC"/>
    <x v="2"/>
  </r>
  <r>
    <s v="COGECOM"/>
    <n v="3005710461"/>
    <s v="DULCE FERREIRA DE ARAUJO FILHA"/>
    <s v="OUT"/>
    <s v="OUTROS"/>
    <n v="68785097691"/>
    <x v="0"/>
    <s v="54.84"/>
    <s v="54.84"/>
    <n v="259"/>
    <s v="SEM INTERESSE"/>
    <s v="NEGOCIAÇÃO VIA TELEFONE"/>
    <n v="1"/>
    <x v="2"/>
    <s v="15.49"/>
    <s v="gleise"/>
    <s v="181 a 360"/>
    <s v="CPC"/>
    <x v="1"/>
  </r>
  <r>
    <s v="COGECOM"/>
    <n v="75133946"/>
    <s v="EDNA FERNANDES DE SOUZA BERBERT"/>
    <s v="OUT"/>
    <s v="OUTROS"/>
    <n v="73109371987"/>
    <x v="0"/>
    <s v="156.68"/>
    <s v="156.68"/>
    <n v="225"/>
    <m/>
    <s v="SOLICITAR EXTINÇÃO DA AÇÃO"/>
    <n v="9999"/>
    <x v="2"/>
    <s v="15.49"/>
    <s v="anakeppe"/>
    <s v="181 a 360"/>
    <s v="ACIONAMENTO"/>
    <x v="4"/>
  </r>
  <r>
    <s v="COGECOM"/>
    <n v="79949614"/>
    <s v="EDSON FRANCISCO DOS SANTOS"/>
    <s v="OUT"/>
    <s v="OUTROS"/>
    <n v="3775027904"/>
    <x v="0"/>
    <s v="67.79"/>
    <s v="192.34"/>
    <n v="203"/>
    <s v="NÃO LOCALIZADO"/>
    <s v="TELEFONES SEM ATENDIMENTO"/>
    <n v="1"/>
    <x v="2"/>
    <s v="15.49"/>
    <s v="gleise"/>
    <s v="181 a 360"/>
    <s v="ACIONAMENTO"/>
    <x v="0"/>
  </r>
  <r>
    <s v="COGECOM"/>
    <n v="3092227996"/>
    <s v="ELTON SANTOS"/>
    <s v="OUT"/>
    <s v="OUTROS"/>
    <n v="1602401071"/>
    <x v="0"/>
    <s v="369.22"/>
    <s v="215.37"/>
    <n v="331"/>
    <s v="SEM INTERESSE"/>
    <s v="NEGOCIAÇÃO VIA TELEFONE"/>
    <n v="1"/>
    <x v="2"/>
    <s v="15.50"/>
    <s v="gleise"/>
    <s v="181 a 360"/>
    <s v="CPC"/>
    <x v="1"/>
  </r>
  <r>
    <s v="COGECOM"/>
    <n v="4001908796"/>
    <s v="ELVIO TADEU BECKER LTDA"/>
    <s v="OUT"/>
    <s v="OUTROS"/>
    <n v="27596306000109"/>
    <x v="0"/>
    <s v="839.39"/>
    <s v="240.91"/>
    <n v="335"/>
    <m/>
    <s v="SOLICITAR EXTINÇÃO DA AÇÃO"/>
    <n v="9999"/>
    <x v="2"/>
    <s v="15.50"/>
    <s v="anakeppe"/>
    <s v="181 a 360"/>
    <s v="ACIONAMENTO"/>
    <x v="4"/>
  </r>
  <r>
    <s v="COGECOM"/>
    <n v="19827518"/>
    <s v="EVERTON NUNES DE ASSIS"/>
    <s v="OUT"/>
    <s v="OUTROS"/>
    <n v="3508262936"/>
    <x v="0"/>
    <s v="132.90"/>
    <s v="106.97"/>
    <n v="249"/>
    <s v="NÃO LOCALIZADO"/>
    <s v="TELEFONES SEM ATENDIMENTO"/>
    <n v="1"/>
    <x v="2"/>
    <s v="17.03"/>
    <s v="gleise"/>
    <s v="181 a 360"/>
    <s v="ACIONAMENTO"/>
    <x v="0"/>
  </r>
  <r>
    <s v="COGECOM"/>
    <n v="3095389912"/>
    <s v="EWERTON DE LIMA PENNA"/>
    <s v="OUT"/>
    <s v="OUTROS"/>
    <n v="1509282033"/>
    <x v="0"/>
    <s v="322.68"/>
    <s v="148.56"/>
    <n v="271"/>
    <s v="NÃO LOCALIZADO"/>
    <s v="TELEFONES SEM ATENDIMENTO"/>
    <n v="1"/>
    <x v="2"/>
    <s v="15.52"/>
    <s v="gleise"/>
    <s v="181 a 360"/>
    <s v="ACIONAMENTO"/>
    <x v="0"/>
  </r>
  <r>
    <s v="COGECOM"/>
    <n v="3006140211"/>
    <s v="FABIANO OLIVEIRA DORNELA"/>
    <s v="OUT"/>
    <s v="OUTROS"/>
    <n v="1461812631"/>
    <x v="0"/>
    <s v="523.01"/>
    <s v="119.88"/>
    <n v="448"/>
    <s v="NÃO LOCALIZADO"/>
    <s v="TELEFONES SEM ATENDIMENTO"/>
    <n v="1"/>
    <x v="2"/>
    <s v="17.05"/>
    <s v="gleise"/>
    <s v="Acima de 361"/>
    <s v="ACIONAMENTO"/>
    <x v="0"/>
  </r>
  <r>
    <s v="COGECOM"/>
    <n v="78862680"/>
    <s v="FERNANDO ZAMADEI"/>
    <s v="OUT"/>
    <s v="OUTROS"/>
    <n v="1605337919"/>
    <x v="0"/>
    <s v="1513.70"/>
    <s v="359.39"/>
    <n v="250"/>
    <s v="NÃO LOCALIZADO"/>
    <s v="TELEFONES SEM ATENDIMENTO"/>
    <n v="1"/>
    <x v="2"/>
    <s v="15.54"/>
    <s v="gleise"/>
    <s v="181 a 360"/>
    <s v="ACIONAMENTO"/>
    <x v="0"/>
  </r>
  <r>
    <s v="COGECOM"/>
    <n v="12816668"/>
    <s v="GEOVANNY GUIMARAES DE OLIVEIRA"/>
    <s v="OUT"/>
    <s v="OUTROS"/>
    <n v="4721271107"/>
    <x v="0"/>
    <s v="292.81"/>
    <s v="186.09"/>
    <n v="368"/>
    <s v="SEM INTERESSE"/>
    <s v="NEGOCIAÇÃO VIA TELEFONE"/>
    <n v="1"/>
    <x v="2"/>
    <s v="15.53"/>
    <s v="gleise"/>
    <s v="Acima de 361"/>
    <s v="CPC"/>
    <x v="1"/>
  </r>
  <r>
    <s v="COGECOM"/>
    <n v="106503715"/>
    <s v="GOUTIER ARAUJO RODRIGUES"/>
    <s v="OUT"/>
    <s v="OUTROS"/>
    <n v="22971497860"/>
    <x v="1"/>
    <s v="443.10"/>
    <s v="157.81"/>
    <n v="227"/>
    <s v="NÃO LOCALIZADO"/>
    <s v="SOLICITAR EXTINÇÃO DA AÇÃO"/>
    <n v="12"/>
    <x v="2"/>
    <s v="15.54"/>
    <s v="gleise"/>
    <s v="181 a 360"/>
    <s v="ACIONAMENTO"/>
    <x v="0"/>
  </r>
  <r>
    <s v="COGECOM"/>
    <n v="3095076097"/>
    <s v="ISAC RAFAEL MARTINS DE SIQUEIRA"/>
    <s v="OUT"/>
    <s v="OUTROS"/>
    <n v="93252943204"/>
    <x v="0"/>
    <s v="165.75"/>
    <s v="102.85"/>
    <n v="477"/>
    <s v="NÃO LOCALIZADO"/>
    <s v="TELEFONES SEM ATENDIMENTO"/>
    <n v="1"/>
    <x v="2"/>
    <s v="15.55"/>
    <s v="gleise"/>
    <s v="Acima de 361"/>
    <s v="ACIONAMENTO"/>
    <x v="0"/>
  </r>
  <r>
    <s v="COGECOM"/>
    <n v="91374570"/>
    <s v="IVONI MARLENE DE OLIVEIRA"/>
    <s v="OUT"/>
    <s v="OUTROS"/>
    <n v="48121690110"/>
    <x v="0"/>
    <s v="1370.31"/>
    <s v="427.25"/>
    <n v="493"/>
    <s v="AG RESPOSTA 1º CONTATO"/>
    <s v="ENVIADO MSG/E-MAIL 1º CONTATO"/>
    <n v="1"/>
    <x v="2"/>
    <s v="15.56"/>
    <s v="l.quadros"/>
    <s v="Acima de 361"/>
    <s v="ACIONAMENTO"/>
    <x v="4"/>
  </r>
  <r>
    <s v="COGECOM"/>
    <n v="25884612"/>
    <s v="JAMES  ROBERTO DA SILVA"/>
    <s v="OUT"/>
    <s v="OUTROS"/>
    <n v="65837649972"/>
    <x v="0"/>
    <s v="2524.92"/>
    <s v="255.72"/>
    <n v="747"/>
    <s v="SEM INTERESSE"/>
    <s v="SOLICITAR EXTINÇÃO DA AÇÃO"/>
    <n v="2"/>
    <x v="2"/>
    <s v="15.55"/>
    <s v="anakeppe"/>
    <s v="Acima de 361"/>
    <s v="ACIONAMENTO"/>
    <x v="1"/>
  </r>
  <r>
    <s v="COGECOM"/>
    <n v="3000252560"/>
    <s v="JEAN BORGES MAIA"/>
    <s v="OUT"/>
    <s v="OUTROS"/>
    <n v="11421490641"/>
    <x v="0"/>
    <s v="667.94"/>
    <s v="213.35"/>
    <n v="448"/>
    <s v="EM NEGOCIAÇÃO"/>
    <s v="SOLICITAR EXTINÇÃO DA AÇÃO"/>
    <n v="9999"/>
    <x v="2"/>
    <s v="15.56"/>
    <s v="anakeppe"/>
    <s v="Acima de 361"/>
    <s v="ACIONAMENTO"/>
    <x v="2"/>
  </r>
  <r>
    <s v="COGECOM"/>
    <n v="95349359"/>
    <s v="JESSYKA LANNA NEGRAO"/>
    <s v="OUT"/>
    <s v="OUTROS"/>
    <n v="742289273"/>
    <x v="0"/>
    <s v="173.91"/>
    <s v="76.85"/>
    <n v="367"/>
    <s v="NÃO LOCALIZADO"/>
    <s v="TELEFONES SEM ATENDIMENTO"/>
    <n v="1"/>
    <x v="2"/>
    <s v="15.56"/>
    <s v="gleise"/>
    <s v="Acima de 361"/>
    <s v="ACIONAMENTO"/>
    <x v="0"/>
  </r>
  <r>
    <s v="COGECOM"/>
    <n v="3085711229"/>
    <s v="JONAS DANIEL SPIBIDA"/>
    <s v="OUT"/>
    <s v="OUTROS"/>
    <n v="1649366027"/>
    <x v="0"/>
    <s v="394.70"/>
    <s v="111.09"/>
    <n v="224"/>
    <s v="SEM INTERESSE"/>
    <s v="NEGOCIAÇÃO VIA TELEFONE"/>
    <n v="1"/>
    <x v="2"/>
    <s v="15.59"/>
    <s v="gleise"/>
    <s v="181 a 360"/>
    <s v="CPC"/>
    <x v="1"/>
  </r>
  <r>
    <s v="COGECOM"/>
    <n v="10001624014"/>
    <s v="JORGE DINIZ ALMEIDA"/>
    <s v="OUT"/>
    <s v="OUTROS"/>
    <n v="68676301387"/>
    <x v="0"/>
    <s v="509.97"/>
    <s v="137.49"/>
    <n v="359"/>
    <s v="AG RESPOSTA 1º CONTATO"/>
    <s v="ENVIADO MSG/E-MAIL 1º CONTATO"/>
    <n v="1"/>
    <x v="2"/>
    <s v="16.06"/>
    <s v="l.quadros"/>
    <s v="181 a 360"/>
    <s v="ACIONAMENTO"/>
    <x v="4"/>
  </r>
  <r>
    <s v="COGECOM"/>
    <n v="1122584"/>
    <s v="JOSE ALESSANDRO SILVA"/>
    <s v="OUT"/>
    <s v="OUTROS"/>
    <n v="9643431932"/>
    <x v="0"/>
    <s v="534.84"/>
    <s v="162.75"/>
    <n v="286"/>
    <m/>
    <s v="SOLICITAR EXTINÇÃO DA AÇÃO"/>
    <n v="9999"/>
    <x v="2"/>
    <s v="15.57"/>
    <s v="anakeppe"/>
    <s v="181 a 360"/>
    <s v="ACIONAMENTO"/>
    <x v="4"/>
  </r>
  <r>
    <s v="COGECOM"/>
    <n v="3002645544"/>
    <s v="JOSE INACIO DA SILVA"/>
    <s v="OUT"/>
    <s v="OUTROS"/>
    <n v="24009253649"/>
    <x v="0"/>
    <s v="669.31"/>
    <s v="118.53"/>
    <n v="352"/>
    <s v="SEM INTERESSE"/>
    <s v="SOLICITAR EXTINÇÃO DA AÇÃO"/>
    <n v="12"/>
    <x v="2"/>
    <s v="15.57"/>
    <s v="anakeppe"/>
    <s v="181 a 360"/>
    <s v="ACIONAMENTO"/>
    <x v="1"/>
  </r>
  <r>
    <s v="COGECOM"/>
    <n v="3002545842"/>
    <s v="JOSE MARCIO SENA SILVEIRA"/>
    <s v="OUT"/>
    <s v="OUTROS"/>
    <n v="35455179691"/>
    <x v="0"/>
    <s v="98.33"/>
    <s v="128.11"/>
    <n v="226"/>
    <m/>
    <s v="SOLICITAR EXTINÇÃO DA AÇÃO"/>
    <n v="9999"/>
    <x v="2"/>
    <s v="15.58"/>
    <s v="anakeppe"/>
    <s v="181 a 360"/>
    <s v="ACIONAMENTO"/>
    <x v="4"/>
  </r>
  <r>
    <s v="COGECOM"/>
    <n v="102562598"/>
    <s v="JOSIMAR FERREIRA DE MELLO"/>
    <s v="OUT"/>
    <s v="OUTROS"/>
    <n v="47398043953"/>
    <x v="0"/>
    <s v="865.54"/>
    <s v="101.44"/>
    <n v="289"/>
    <s v="SEM INTERESSE"/>
    <s v="NEGOCIAÇÃO VIA TELEFONE"/>
    <n v="1"/>
    <x v="2"/>
    <s v="16.01"/>
    <s v="anakeppe"/>
    <s v="181 a 360"/>
    <s v="CPC"/>
    <x v="1"/>
  </r>
  <r>
    <s v="COGECOM"/>
    <n v="14655837"/>
    <s v="LEANDRO CAVINA CAMPOS"/>
    <s v="OUT"/>
    <s v="OUTROS"/>
    <n v="4955954979"/>
    <x v="0"/>
    <s v="1799.36"/>
    <s v="551.32"/>
    <n v="212"/>
    <s v="EM NEGOCIAÇÃO"/>
    <s v="NEGOCIAÇÃO VIA WHATSAPP"/>
    <n v="1"/>
    <x v="2"/>
    <s v="17.42"/>
    <s v="l.quadros"/>
    <s v="181 a 360"/>
    <s v="CPC"/>
    <x v="2"/>
  </r>
  <r>
    <s v="COGECOM"/>
    <n v="3080865153"/>
    <s v="LUIZ CARLOS JUNGTHON"/>
    <s v="OUT"/>
    <s v="OUTROS"/>
    <n v="18143326004"/>
    <x v="0"/>
    <s v="662.50"/>
    <s v="662.50"/>
    <n v="322"/>
    <s v="AG RESPOSTA 1º CONTATO"/>
    <s v="ENVIADO MSG/E-MAIL 1º CONTATO"/>
    <n v="1"/>
    <x v="2"/>
    <s v="16.44"/>
    <s v="l.quadros"/>
    <s v="181 a 360"/>
    <s v="ACIONAMENTO"/>
    <x v="4"/>
  </r>
  <r>
    <s v="COGECOM"/>
    <n v="10024740460"/>
    <s v="MARCIO VITOR DOS SANTOS BORGES"/>
    <s v="OUT"/>
    <s v="OUTROS"/>
    <n v="6494909167"/>
    <x v="0"/>
    <s v="216.50"/>
    <s v="104.15"/>
    <n v="231"/>
    <s v="NÃO LOCALIZADO"/>
    <s v="TELEFONES SEM ATENDIMENTO"/>
    <n v="1"/>
    <x v="2"/>
    <s v="17.06"/>
    <s v="gleise"/>
    <s v="181 a 360"/>
    <s v="ACIONAMENTO"/>
    <x v="0"/>
  </r>
  <r>
    <s v="COGECOM"/>
    <n v="10020866451"/>
    <s v="MARIA CRISTINA ARAUJO VAZ"/>
    <s v="OUT"/>
    <s v="OUTROS"/>
    <n v="70673080110"/>
    <x v="0"/>
    <s v="237.87"/>
    <s v="51.19"/>
    <n v="212"/>
    <s v="AG RESPOSTA 1º CONTATO"/>
    <s v="ENVIADO MSG/E-MAIL 1º CONTATO"/>
    <n v="1"/>
    <x v="2"/>
    <s v="15.54"/>
    <s v="l.quadros"/>
    <s v="181 a 360"/>
    <s v="ACIONAMENTO"/>
    <x v="4"/>
  </r>
  <r>
    <s v="COGECOM"/>
    <n v="3007777536"/>
    <s v="MARIA DOS ANJOS CRUZ SILVA"/>
    <s v="OUT"/>
    <s v="OUTROS"/>
    <n v="7624042649"/>
    <x v="0"/>
    <s v="180.27"/>
    <s v="99.14"/>
    <n v="154"/>
    <s v="NÃO LOCALIZADO"/>
    <s v="TELEFONES SEM ATENDIMENTO"/>
    <n v="1"/>
    <x v="2"/>
    <s v="17.09"/>
    <s v="gleise"/>
    <s v="91 a 180"/>
    <s v="ACIONAMENTO"/>
    <x v="0"/>
  </r>
  <r>
    <s v="COGECOM"/>
    <n v="54070500"/>
    <s v="NEMESIO INACIO GONCALVES"/>
    <s v="OUT"/>
    <s v="OUTROS"/>
    <n v="6388941907"/>
    <x v="0"/>
    <s v="445.75"/>
    <s v="98.21"/>
    <n v="317"/>
    <s v="NÃO LOCALIZADO"/>
    <s v="TELEFONES SEM ATENDIMENTO"/>
    <n v="1"/>
    <x v="2"/>
    <s v="17.07"/>
    <s v="gleise"/>
    <s v="181 a 360"/>
    <s v="ACIONAMENTO"/>
    <x v="0"/>
  </r>
  <r>
    <s v="COGECOM"/>
    <n v="3003244049"/>
    <s v="SHIRLEI DOS SANTOS VIEIRA"/>
    <s v="OUT"/>
    <s v="OUTROS"/>
    <n v="74860470630"/>
    <x v="0"/>
    <s v="5058.47"/>
    <s v="1477.23"/>
    <n v="401"/>
    <s v="AG RESPOSTA 1º CONTATO"/>
    <s v="ENVIADO MSG/E-MAIL 1º CONTATO"/>
    <n v="1"/>
    <x v="2"/>
    <s v="16.20"/>
    <s v="l.quadros"/>
    <s v="Acima de 361"/>
    <s v="ACIONAMENTO"/>
    <x v="4"/>
  </r>
  <r>
    <s v="COGECOM"/>
    <n v="55841713"/>
    <s v="EDUARDO SPRENGER DO ROSARIO"/>
    <s v="OUT"/>
    <s v="OUTROS"/>
    <n v="7308722970"/>
    <x v="0"/>
    <s v="1077.17"/>
    <s v="1077.17"/>
    <n v="334"/>
    <s v="AG RESPOSTA 1º CONTATO"/>
    <s v="ENVIADO MSG/E-MAIL 1º CONTATO"/>
    <n v="1"/>
    <x v="2"/>
    <s v="16.34"/>
    <s v="l.quadros"/>
    <s v="181 a 360"/>
    <s v="ACIONAMENTO"/>
    <x v="4"/>
  </r>
  <r>
    <s v="COGECOM"/>
    <n v="10029462566"/>
    <s v="ADRIANO TRINDADE DOS SANTOS"/>
    <s v="OUT"/>
    <s v="OUTROS"/>
    <n v="1246087103"/>
    <x v="0"/>
    <s v="551.27"/>
    <s v="132.20"/>
    <n v="181"/>
    <s v="NÃO LOCALIZADO"/>
    <s v="TELEFONES SEM ATENDIMENTO"/>
    <n v="1"/>
    <x v="2"/>
    <s v="17.04"/>
    <s v="gleise"/>
    <s v="181 a 360"/>
    <s v="ACIONAMENTO"/>
    <x v="0"/>
  </r>
  <r>
    <s v="COGECOM"/>
    <n v="10021696517"/>
    <s v="LILIAN REZENDE"/>
    <s v="OUT"/>
    <s v="OUTROS"/>
    <n v="98396692734"/>
    <x v="0"/>
    <s v="157.38"/>
    <s v="157.38"/>
    <n v="151"/>
    <s v="NÃO LOCALIZADO"/>
    <s v="TELEFONES SEM ATENDIMENTO"/>
    <n v="1"/>
    <x v="2"/>
    <s v="16.59"/>
    <s v="gleise"/>
    <s v="91 a 180"/>
    <s v="ACIONAMENTO"/>
    <x v="0"/>
  </r>
  <r>
    <s v="COGECOM"/>
    <n v="8734542"/>
    <s v="YURI ALEXANDER KARP WENTZ"/>
    <s v="OUT"/>
    <s v="OUTROS"/>
    <n v="90285867920"/>
    <x v="0"/>
    <s v="565.38"/>
    <s v="383.40"/>
    <n v="151"/>
    <s v="AG RESPOSTA 1º CONTATO"/>
    <s v="ENVIADO MSG/E-MAIL 1º CONTATO"/>
    <n v="1"/>
    <x v="2"/>
    <s v="17.11"/>
    <s v="l.quadros"/>
    <s v="91 a 180"/>
    <s v="ACIONAMENTO"/>
    <x v="4"/>
  </r>
  <r>
    <s v="COGECOM"/>
    <n v="1570003741"/>
    <s v="ADEMAR FERREIRA DA SILVA"/>
    <s v="OUT"/>
    <s v="OUTROS"/>
    <n v="49897187120"/>
    <x v="0"/>
    <s v="160.31"/>
    <s v="143.13"/>
    <n v="148"/>
    <s v="NÃO LOCALIZADO"/>
    <s v="TELEFONES SEM ATENDIMENTO"/>
    <n v="1"/>
    <x v="2"/>
    <s v="17.01"/>
    <s v="gleise"/>
    <s v="91 a 180"/>
    <s v="ACIONAMENTO"/>
    <x v="0"/>
  </r>
  <r>
    <s v="COGECOM"/>
    <n v="90276019"/>
    <s v="JULIANO CRESPO"/>
    <s v="OUT"/>
    <s v="OUTROS"/>
    <n v="3509825977"/>
    <x v="0"/>
    <s v="797.71"/>
    <s v="420.95"/>
    <n v="101"/>
    <s v="AG RESPOSTA 1º CONTATO"/>
    <s v="ENVIADO MSG/E-MAIL 1º CONTATO"/>
    <n v="1"/>
    <x v="2"/>
    <s v="16.54"/>
    <s v="l.quadros"/>
    <s v="91 a 180"/>
    <s v="ACIONAMENTO"/>
    <x v="4"/>
  </r>
  <r>
    <s v="COGECOM"/>
    <n v="363111"/>
    <s v="CYNTHIA MARIA GOMES SALVADOR"/>
    <s v="OUT"/>
    <s v="OUTROS"/>
    <n v="55288146934"/>
    <x v="0"/>
    <s v="3403.03"/>
    <s v="1634.20"/>
    <n v="1680"/>
    <s v="SEM INTERESSE"/>
    <s v="NEGOCIAÇÃO VIA TELEFONE"/>
    <n v="0"/>
    <x v="3"/>
    <s v="9.29"/>
    <s v="anakeppe"/>
    <s v="Acima de 361"/>
    <s v="CPC"/>
    <x v="1"/>
  </r>
  <r>
    <s v="COGECOM"/>
    <n v="10028590145"/>
    <s v="REGINALDO PEREIRA DOS SANTOS"/>
    <s v="OUT"/>
    <s v="OUTROS"/>
    <n v="59216387149"/>
    <x v="0"/>
    <s v="754.66"/>
    <s v="213.51"/>
    <n v="335"/>
    <s v="SEM INTERESSE"/>
    <s v="NEGOCIAÇÃO VIA TELEFONE"/>
    <n v="0"/>
    <x v="3"/>
    <s v="10.38"/>
    <s v="anakeppe"/>
    <s v="181 a 360"/>
    <s v="CPC"/>
    <x v="1"/>
  </r>
  <r>
    <s v="COGECOM"/>
    <n v="96990929"/>
    <s v="CINTIA ALVES TELES MACEDO"/>
    <s v="OUT"/>
    <s v="OUTROS"/>
    <n v="96306629149"/>
    <x v="0"/>
    <s v="124.77"/>
    <s v="124.77"/>
    <n v="465"/>
    <s v="NÃO LOCALIZADO"/>
    <s v="TELEFONES SEM ATENDIMENTO"/>
    <n v="0"/>
    <x v="3"/>
    <s v="14.27"/>
    <s v="gleise"/>
    <s v="Acima de 361"/>
    <s v="ACIONAMENTO"/>
    <x v="0"/>
  </r>
  <r>
    <s v="COGECOM"/>
    <n v="3059294"/>
    <s v="ODISNEI NUNES DOS SANTOS"/>
    <s v="OUT"/>
    <s v="OUTROS"/>
    <n v="51972638904"/>
    <x v="0"/>
    <s v="247.94"/>
    <s v="220.28"/>
    <n v="1181"/>
    <s v="EM NEGOCIAÇÃO"/>
    <s v="SOLICITAR EXTINÇÃO DA AÇÃO"/>
    <n v="9999"/>
    <x v="3"/>
    <s v="14.26"/>
    <s v="anakeppe"/>
    <s v="Acima de 361"/>
    <s v="ACIONAMENTO"/>
    <x v="2"/>
  </r>
  <r>
    <s v="COGECOM"/>
    <n v="3001977870"/>
    <s v="ADRIANA APARECIDA GIZ"/>
    <s v="OUT"/>
    <s v="OUTROS"/>
    <n v="3717547631"/>
    <x v="0"/>
    <s v="668.48"/>
    <s v="208.30"/>
    <n v="258"/>
    <s v="NÃO LOCALIZADO"/>
    <s v="SOLICITAR EXTINÇÃO DA AÇÃO"/>
    <n v="13"/>
    <x v="3"/>
    <s v="14.27"/>
    <s v="anakeppe"/>
    <s v="181 a 360"/>
    <s v="ACIONAMENTO"/>
    <x v="0"/>
  </r>
  <r>
    <s v="COGECOM"/>
    <n v="89739671"/>
    <s v="ADRIANO GUSTAVO PIMENTA"/>
    <s v="OUT"/>
    <s v="OUTROS"/>
    <n v="25305434882"/>
    <x v="0"/>
    <s v="1337.71"/>
    <s v="402.86"/>
    <n v="426"/>
    <s v="NÃO LOCALIZADO"/>
    <s v="TELEFONES SEM ATENDIMENTO"/>
    <n v="0"/>
    <x v="3"/>
    <s v="14.28"/>
    <s v="gleise"/>
    <s v="Acima de 361"/>
    <s v="ACIONAMENTO"/>
    <x v="0"/>
  </r>
  <r>
    <s v="COGECOM"/>
    <n v="3007703394"/>
    <s v="AILSON ALVES KNUPP"/>
    <s v="OUT"/>
    <s v="OUTROS"/>
    <n v="1244271624"/>
    <x v="0"/>
    <s v="433.58"/>
    <s v="228.17"/>
    <n v="532"/>
    <s v="NÃO LOCALIZADO"/>
    <s v="SOLICITAR EXTINÇÃO DA AÇÃO"/>
    <n v="3"/>
    <x v="3"/>
    <s v="14.28"/>
    <s v="anakeppe"/>
    <s v="Acima de 361"/>
    <s v="ACIONAMENTO"/>
    <x v="0"/>
  </r>
  <r>
    <s v="COGECOM"/>
    <n v="77242050"/>
    <s v="ALDO CUSTODIO VIEIRA"/>
    <s v="OUT"/>
    <s v="OUTROS"/>
    <n v="56668112900"/>
    <x v="0"/>
    <s v="592.34"/>
    <s v="250.45"/>
    <n v="204"/>
    <s v="NÃO LOCALIZADO"/>
    <s v="SOLICITAR EXTINÇÃO DA AÇÃO"/>
    <n v="12"/>
    <x v="3"/>
    <s v="14.28"/>
    <s v="anakeppe"/>
    <s v="181 a 360"/>
    <s v="ACIONAMENTO"/>
    <x v="0"/>
  </r>
  <r>
    <s v="COGECOM"/>
    <n v="85739570"/>
    <s v="ALEX RUBENS DA SILVA BICUDO"/>
    <s v="OUT"/>
    <s v="OUTROS"/>
    <n v="21917182805"/>
    <x v="0"/>
    <s v="1469.66"/>
    <s v="184.74"/>
    <n v="483"/>
    <s v="NÃO LOCALIZADO"/>
    <s v="TELEFONES SEM ATENDIMENTO"/>
    <n v="0"/>
    <x v="3"/>
    <s v="14.29"/>
    <s v="gleise"/>
    <s v="Acima de 361"/>
    <s v="ACIONAMENTO"/>
    <x v="0"/>
  </r>
  <r>
    <s v="COGECOM"/>
    <n v="88369625"/>
    <s v="ALEX SANCHES TORQUATO"/>
    <s v="OUT"/>
    <s v="OUTROS"/>
    <n v="15877138880"/>
    <x v="0"/>
    <s v="1586.51"/>
    <s v="376.78"/>
    <n v="205"/>
    <s v="NÃO LOCALIZADO"/>
    <s v="TELEFONES SEM ATENDIMENTO"/>
    <n v="0"/>
    <x v="3"/>
    <s v="16.40"/>
    <s v="gleise"/>
    <s v="181 a 360"/>
    <s v="ACIONAMENTO"/>
    <x v="0"/>
  </r>
  <r>
    <s v="COGECOM"/>
    <n v="3014611576"/>
    <s v="ALEXANDRE ARLESIANE DE OLIVEIRA"/>
    <s v="OUT"/>
    <s v="OUTROS"/>
    <n v="82878390091"/>
    <x v="0"/>
    <s v="516.55"/>
    <s v="394.80"/>
    <n v="358"/>
    <s v="NÃO LOCALIZADO"/>
    <s v="TELEFONES SEM ATENDIMENTO"/>
    <n v="0"/>
    <x v="3"/>
    <s v="13.02"/>
    <s v="gleise"/>
    <s v="181 a 360"/>
    <s v="ACIONAMENTO"/>
    <x v="0"/>
  </r>
  <r>
    <s v="COGECOM"/>
    <n v="77725620"/>
    <s v="ALEXANDRE TREVIZAN BORGES"/>
    <s v="OUT"/>
    <s v="OUTROS"/>
    <n v="16159072897"/>
    <x v="0"/>
    <s v="82.65"/>
    <s v="82.65"/>
    <n v="328"/>
    <s v="NÃO LOCALIZADO"/>
    <s v="TELEFONES SEM ATENDIMENTO"/>
    <n v="0"/>
    <x v="3"/>
    <s v="14.30"/>
    <s v="gleise"/>
    <s v="181 a 360"/>
    <s v="ACIONAMENTO"/>
    <x v="0"/>
  </r>
  <r>
    <s v="COGECOM"/>
    <n v="3001861325"/>
    <s v="ANDERSON RONIERE DOS SANTOS COSTA"/>
    <s v="OUT"/>
    <s v="OUTROS"/>
    <n v="9652626694"/>
    <x v="0"/>
    <s v="1103.10"/>
    <s v="517.89"/>
    <n v="494"/>
    <s v="NÃO LOCALIZADO"/>
    <s v="TELEFONES SEM ATENDIMENTO"/>
    <n v="0"/>
    <x v="3"/>
    <s v="14.31"/>
    <s v="gleise"/>
    <s v="Acima de 361"/>
    <s v="ACIONAMENTO"/>
    <x v="0"/>
  </r>
  <r>
    <s v="COGECOM"/>
    <n v="58152075"/>
    <s v="ANDRE APARECIDO MAZOLA"/>
    <s v="OUT"/>
    <s v="OUTROS"/>
    <n v="567113957"/>
    <x v="0"/>
    <s v="1403.76"/>
    <s v="99.18"/>
    <n v="686"/>
    <s v="SEM INTERESSE"/>
    <s v="NEGOCIAÇÃO VIA TELEFONE"/>
    <n v="0"/>
    <x v="3"/>
    <s v="11.24"/>
    <s v="gleise"/>
    <s v="Acima de 361"/>
    <s v="CPC"/>
    <x v="1"/>
  </r>
  <r>
    <s v="COGECOM"/>
    <n v="34769048"/>
    <s v="ANDRE CARLOS DE SOUZA"/>
    <s v="OUT"/>
    <s v="OUTROS"/>
    <n v="2938360940"/>
    <x v="0"/>
    <s v="3666.11"/>
    <s v="924.14"/>
    <n v="197"/>
    <s v="NÃO LOCALIZADO"/>
    <s v="TELEFONES SEM ATENDIMENTO"/>
    <n v="0"/>
    <x v="3"/>
    <s v="11.54"/>
    <s v="gleise"/>
    <s v="181 a 360"/>
    <s v="ACIONAMENTO"/>
    <x v="0"/>
  </r>
  <r>
    <s v="COGECOM"/>
    <n v="53247105"/>
    <s v="ANDRE LUIZ BORTOLANZA"/>
    <s v="OUT"/>
    <s v="OUTROS"/>
    <n v="3242725964"/>
    <x v="0"/>
    <s v="253.18"/>
    <s v="107.76"/>
    <n v="686"/>
    <s v="NÃO LOCALIZADO"/>
    <s v="TELEFONES SEM ATENDIMENTO"/>
    <n v="0"/>
    <x v="3"/>
    <s v="10.47"/>
    <s v="gleise"/>
    <s v="Acima de 361"/>
    <s v="ACIONAMENTO"/>
    <x v="0"/>
  </r>
  <r>
    <s v="COGECOM"/>
    <n v="101119984"/>
    <s v="ANDRE LUIZ DARIVA"/>
    <s v="OUT"/>
    <s v="OUTROS"/>
    <n v="8853966939"/>
    <x v="0"/>
    <s v="654.93"/>
    <s v="123.11"/>
    <n v="208"/>
    <s v="NÃO LOCALIZADO"/>
    <s v="TELEFONES SEM ATENDIMENTO"/>
    <n v="0"/>
    <x v="3"/>
    <s v="16.43"/>
    <s v="gleise"/>
    <s v="181 a 360"/>
    <s v="ACIONAMENTO"/>
    <x v="0"/>
  </r>
  <r>
    <s v="COGECOM"/>
    <n v="3005914177"/>
    <s v="ANDRE LUIZ RODRIGUES DE FREITAS"/>
    <s v="OUT"/>
    <s v="OUTROS"/>
    <n v="6322818635"/>
    <x v="0"/>
    <s v="1384.62"/>
    <s v="443.57"/>
    <n v="551"/>
    <s v="NÃO LOCALIZADO"/>
    <s v="TELEFONES SEM ATENDIMENTO"/>
    <n v="0"/>
    <x v="3"/>
    <s v="14.32"/>
    <s v="gleise"/>
    <s v="Acima de 361"/>
    <s v="ACIONAMENTO"/>
    <x v="0"/>
  </r>
  <r>
    <s v="COGECOM"/>
    <n v="103461892"/>
    <s v="ANDREY CRISTIANO AVILA CARLOS"/>
    <s v="OUT"/>
    <s v="OUTROS"/>
    <n v="8230933952"/>
    <x v="0"/>
    <s v="255.90"/>
    <s v="245.23"/>
    <n v="235"/>
    <s v="SEM INTERESSE"/>
    <s v="NEGOCIAÇÃO VIA TELEFONE"/>
    <n v="0"/>
    <x v="3"/>
    <s v="10.31"/>
    <s v="anakeppe"/>
    <s v="181 a 360"/>
    <s v="CPC"/>
    <x v="1"/>
  </r>
  <r>
    <s v="COGECOM"/>
    <n v="23065168"/>
    <s v="ANISIA DOS SANTOS DA SILVA"/>
    <s v="OUT"/>
    <s v="OUTROS"/>
    <n v="46306005900"/>
    <x v="0"/>
    <s v="417.00"/>
    <s v="66.43"/>
    <n v="678"/>
    <s v="SEM INTERESSE"/>
    <s v="NEGOCIAÇÃO VIA TELEFONE"/>
    <n v="0"/>
    <x v="3"/>
    <s v="9.25"/>
    <s v="anakeppe"/>
    <s v="Acima de 361"/>
    <s v="CPC"/>
    <x v="1"/>
  </r>
  <r>
    <s v="COGECOM"/>
    <n v="3001123910"/>
    <s v="ARGEU GOMES BARBOSA"/>
    <s v="OUT"/>
    <s v="OUTROS"/>
    <n v="22056890615"/>
    <x v="0"/>
    <s v="404.74"/>
    <s v="195.42"/>
    <n v="374"/>
    <s v="SEM INTERESSE"/>
    <s v="NEGOCIAÇÃO VIA TELEFONE"/>
    <n v="0"/>
    <x v="3"/>
    <s v="14.33"/>
    <s v="gleise"/>
    <s v="Acima de 361"/>
    <s v="CPC"/>
    <x v="1"/>
  </r>
  <r>
    <s v="COGECOM"/>
    <n v="11722814"/>
    <s v="BRUNA TACIANE CIPRIANO DE JESUS"/>
    <s v="OUT"/>
    <s v="OUTROS"/>
    <n v="7098854905"/>
    <x v="0"/>
    <s v="941.91"/>
    <s v="190.04"/>
    <n v="196"/>
    <s v="NÃO LOCALIZADO"/>
    <s v="TELEFONES SEM ATENDIMENTO"/>
    <n v="0"/>
    <x v="3"/>
    <s v="11.11"/>
    <s v="gleise"/>
    <s v="181 a 360"/>
    <s v="ACIONAMENTO"/>
    <x v="0"/>
  </r>
  <r>
    <s v="COGECOM"/>
    <n v="47517630"/>
    <s v="BRUNO ALEXANDRE BRUNELLO"/>
    <s v="OUT"/>
    <s v="OUTROS"/>
    <n v="548945900"/>
    <x v="0"/>
    <s v="170.83"/>
    <s v="79.67"/>
    <n v="473"/>
    <s v="NÃO LOCALIZADO"/>
    <s v="TELEFONES SEM ATENDIMENTO"/>
    <n v="0"/>
    <x v="3"/>
    <s v="16.45"/>
    <s v="gleise"/>
    <s v="Acima de 361"/>
    <s v="ACIONAMENTO"/>
    <x v="0"/>
  </r>
  <r>
    <s v="COGECOM"/>
    <n v="73022322"/>
    <s v="BRUNO RODRIGUES CONSTANTINO DA   SILVA"/>
    <s v="OUT"/>
    <s v="OUTROS"/>
    <n v="4389713965"/>
    <x v="0"/>
    <s v="1094.40"/>
    <s v="248.50"/>
    <n v="391"/>
    <s v="NÃO LOCALIZADO"/>
    <s v="TELEFONES SEM ATENDIMENTO"/>
    <n v="0"/>
    <x v="3"/>
    <s v="11.48"/>
    <s v="gleise"/>
    <s v="Acima de 361"/>
    <s v="ACIONAMENTO"/>
    <x v="0"/>
  </r>
  <r>
    <s v="COGECOM"/>
    <n v="3083012451"/>
    <s v="CARLOS ALBERTO BENEDETTI"/>
    <s v="OUT"/>
    <s v="OUTROS"/>
    <n v="37305450006"/>
    <x v="0"/>
    <s v="624.87"/>
    <s v="312.76"/>
    <n v="504"/>
    <s v="NÃO LOCALIZADO"/>
    <s v="TELEFONES SEM ATENDIMENTO"/>
    <n v="0"/>
    <x v="3"/>
    <s v="14.35"/>
    <s v="gleise"/>
    <s v="Acima de 361"/>
    <s v="ACIONAMENTO"/>
    <x v="0"/>
  </r>
  <r>
    <s v="COGECOM"/>
    <n v="3091951826"/>
    <s v="CARLOS MIGUEL DE OLIVEIRA GOMES"/>
    <s v="OUT"/>
    <s v="OUTROS"/>
    <n v="61016861087"/>
    <x v="0"/>
    <s v="268.36"/>
    <s v="154.59"/>
    <n v="211"/>
    <s v="NÃO LOCALIZADO"/>
    <s v="TELEFONES SEM ATENDIMENTO"/>
    <n v="0"/>
    <x v="3"/>
    <s v="14.16"/>
    <s v="gleise"/>
    <s v="181 a 360"/>
    <s v="ACIONAMENTO"/>
    <x v="0"/>
  </r>
  <r>
    <s v="COGECOM"/>
    <n v="3007503472"/>
    <s v="CASA LAICOS BAR EIRELI EPP"/>
    <s v="OUT"/>
    <s v="OUTROS"/>
    <n v="23961797000199"/>
    <x v="0"/>
    <s v="5610.03"/>
    <s v="170.07"/>
    <n v="794"/>
    <s v="SEM INTERESSE"/>
    <s v="NEGOCIAÇÃO VIA TELEFONE"/>
    <n v="0"/>
    <x v="3"/>
    <s v="9.22"/>
    <s v="anakeppe"/>
    <s v="Acima de 361"/>
    <s v="CPC"/>
    <x v="1"/>
  </r>
  <r>
    <s v="COGECOM"/>
    <n v="3013515470"/>
    <s v="CELSO BREYNNE PACHECO FONSECA"/>
    <s v="OUT"/>
    <s v="OUTROS"/>
    <n v="12112218654"/>
    <x v="0"/>
    <s v="453.14"/>
    <s v="132.30"/>
    <n v="250"/>
    <s v="SEM INTERESSE"/>
    <s v="NEGOCIAÇÃO VIA TELEFONE"/>
    <n v="0"/>
    <x v="3"/>
    <s v="11.20"/>
    <s v="anakeppe"/>
    <s v="181 a 360"/>
    <s v="CPC"/>
    <x v="1"/>
  </r>
  <r>
    <s v="COGECOM"/>
    <n v="3004396728"/>
    <s v="CLARINDO BENEDITO FERREIRA"/>
    <s v="OUT"/>
    <s v="OUTROS"/>
    <n v="27592375672"/>
    <x v="0"/>
    <s v="352.53"/>
    <s v="179.32"/>
    <n v="532"/>
    <s v="SEM INTERESSE"/>
    <s v="NEGOCIAÇÃO VIA TELEFONE"/>
    <n v="0"/>
    <x v="3"/>
    <s v="10.39"/>
    <s v="anakeppe"/>
    <s v="Acima de 361"/>
    <s v="CPC"/>
    <x v="1"/>
  </r>
  <r>
    <s v="COGECOM"/>
    <n v="12502529"/>
    <s v="CLAUDIA MARTINS DE LIMA"/>
    <s v="OUT"/>
    <s v="OUTROS"/>
    <n v="1941894909"/>
    <x v="0"/>
    <s v="1679.38"/>
    <s v="168.98"/>
    <n v="507"/>
    <s v="NÃO LOCALIZADO"/>
    <s v="TELEFONES SEM ATENDIMENTO"/>
    <n v="0"/>
    <x v="3"/>
    <s v="14.37"/>
    <s v="gleise"/>
    <s v="Acima de 361"/>
    <s v="ACIONAMENTO"/>
    <x v="0"/>
  </r>
  <r>
    <s v="COGECOM"/>
    <n v="3092589714"/>
    <s v="CLAUMIR POSSADA DA SILVA"/>
    <s v="OUT"/>
    <s v="OUTROS"/>
    <n v="57056587020"/>
    <x v="0"/>
    <s v="412.76"/>
    <s v="308.57"/>
    <n v="476"/>
    <s v="AG RESPOSTA 1º CONTATO"/>
    <s v="ENVIADO MSG/E-MAIL 1º CONTATO"/>
    <n v="0"/>
    <x v="3"/>
    <s v="11.17"/>
    <s v="l.quadros"/>
    <s v="Acima de 361"/>
    <s v="ACIONAMENTO"/>
    <x v="4"/>
  </r>
  <r>
    <s v="COGECOM"/>
    <n v="10034937453"/>
    <s v="CLEDER TEIXEIRA DE OLIVEIRA"/>
    <s v="OUT"/>
    <s v="OUTROS"/>
    <n v="559136102"/>
    <x v="1"/>
    <s v="0.00"/>
    <s v="165.31"/>
    <n v="147"/>
    <s v="AG RESPOSTA 1º CONTATO"/>
    <s v="ALTERACAO DEBITO"/>
    <n v="7"/>
    <x v="3"/>
    <s v="12.40"/>
    <s v="p.quadros"/>
    <s v="91 a 180"/>
    <s v="ACIONAMENTO"/>
    <x v="4"/>
  </r>
  <r>
    <s v="COGECOM"/>
    <n v="49790546"/>
    <s v="CRISTIANO NASCIMENTO DO CARMO"/>
    <s v="OUT"/>
    <s v="OUTROS"/>
    <n v="2970869950"/>
    <x v="0"/>
    <s v="1306.30"/>
    <s v="41.79"/>
    <n v="776"/>
    <s v="AG RESPOSTA 1º CONTATO"/>
    <s v="ENVIADO MSG/E-MAIL 1º CONTATO"/>
    <n v="0"/>
    <x v="3"/>
    <s v="13.22"/>
    <s v="l.quadros"/>
    <s v="Acima de 361"/>
    <s v="ACIONAMENTO"/>
    <x v="4"/>
  </r>
  <r>
    <s v="COGECOM"/>
    <n v="10025094350"/>
    <s v="DAFFNEKELLY SILVA ROMAO ABADIA"/>
    <s v="OUT"/>
    <s v="OUTROS"/>
    <n v="1893446107"/>
    <x v="0"/>
    <s v="1137.47"/>
    <s v="263.75"/>
    <n v="267"/>
    <s v="NÃO LOCALIZADO"/>
    <s v="TELEFONES SEM ATENDIMENTO"/>
    <n v="0"/>
    <x v="3"/>
    <s v="14.39"/>
    <s v="gleise"/>
    <s v="181 a 360"/>
    <s v="ACIONAMENTO"/>
    <x v="0"/>
  </r>
  <r>
    <s v="COGECOM"/>
    <n v="3095459954"/>
    <s v="DANIEL JORGE DA SILVA RUTSATZ"/>
    <s v="OUT"/>
    <s v="OUTROS"/>
    <n v="1583139095"/>
    <x v="0"/>
    <s v="1251.35"/>
    <s v="748.09"/>
    <n v="226"/>
    <s v="NÃO LOCALIZADO"/>
    <s v="TELEFONES SEM ATENDIMENTO"/>
    <n v="0"/>
    <x v="3"/>
    <s v="13.24"/>
    <s v="gleise"/>
    <s v="181 a 360"/>
    <s v="ACIONAMENTO"/>
    <x v="0"/>
  </r>
  <r>
    <s v="COGECOM"/>
    <n v="98424254"/>
    <s v="DANIELE MALDANER LUIZ"/>
    <s v="OUT"/>
    <s v="OUTROS"/>
    <n v="963023993"/>
    <x v="0"/>
    <s v="2818.00"/>
    <s v="886.06"/>
    <n v="1282"/>
    <s v="NÃO LOCALIZADO"/>
    <s v="TELEFONES SEM ATENDIMENTO"/>
    <n v="0"/>
    <x v="3"/>
    <s v="16.49"/>
    <s v="gleise"/>
    <s v="Acima de 361"/>
    <s v="ACIONAMENTO"/>
    <x v="0"/>
  </r>
  <r>
    <s v="COGECOM"/>
    <n v="3000632142"/>
    <s v="DAYANE DOHLER CHAVES"/>
    <s v="OUT"/>
    <s v="OUTROS"/>
    <n v="7405591680"/>
    <x v="0"/>
    <s v="461.29"/>
    <s v="188.98"/>
    <n v="453"/>
    <s v="SEM INTERESSE"/>
    <s v="NEGOCIAÇÃO VIA TELEFONE"/>
    <n v="0"/>
    <x v="3"/>
    <s v="16.48"/>
    <s v="gleise"/>
    <s v="Acima de 361"/>
    <s v="CPC"/>
    <x v="1"/>
  </r>
  <r>
    <s v="COGECOM"/>
    <n v="3083123333"/>
    <s v="DIONEI OZELAME - GAS"/>
    <s v="OUT"/>
    <s v="OUTROS"/>
    <n v="8395435000194"/>
    <x v="0"/>
    <s v="257.15"/>
    <s v="150.64"/>
    <n v="333"/>
    <s v="NÃO LOCALIZADO"/>
    <s v="TELEFONES SEM ATENDIMENTO"/>
    <n v="0"/>
    <x v="3"/>
    <s v="14.40"/>
    <s v="gleise"/>
    <s v="181 a 360"/>
    <s v="ACIONAMENTO"/>
    <x v="0"/>
  </r>
  <r>
    <s v="COGECOM"/>
    <n v="2760005301"/>
    <s v="DIVA CARDOSO CORNELIO"/>
    <s v="OUT"/>
    <s v="OUTROS"/>
    <n v="24211273191"/>
    <x v="0"/>
    <s v="2408.05"/>
    <s v="550.63"/>
    <n v="281"/>
    <s v="NÃO LOCALIZADO"/>
    <s v="TELEFONES SEM ATENDIMENTO"/>
    <n v="0"/>
    <x v="3"/>
    <s v="11.56"/>
    <s v="gleise"/>
    <s v="181 a 360"/>
    <s v="ACIONAMENTO"/>
    <x v="0"/>
  </r>
  <r>
    <s v="COGECOM"/>
    <n v="10755597"/>
    <s v="DORACY FERREIRA DE PAULA"/>
    <s v="OUT"/>
    <s v="OUTROS"/>
    <n v="43935478100"/>
    <x v="0"/>
    <s v="1831.61"/>
    <s v="146.57"/>
    <n v="296"/>
    <s v="NÃO LOCALIZADO"/>
    <s v="TELEFONES SEM ATENDIMENTO"/>
    <n v="0"/>
    <x v="3"/>
    <s v="14.42"/>
    <s v="gleise"/>
    <s v="181 a 360"/>
    <s v="ACIONAMENTO"/>
    <x v="0"/>
  </r>
  <r>
    <s v="COGECOM"/>
    <n v="80203868"/>
    <s v="EDERSON CARLOS ARAUJO"/>
    <s v="OUT"/>
    <s v="OUTROS"/>
    <n v="80235638900"/>
    <x v="0"/>
    <s v="2812.67"/>
    <s v="547.49"/>
    <n v="183"/>
    <s v="NÃO LOCALIZADO"/>
    <s v="TELEFONES SEM ATENDIMENTO"/>
    <n v="0"/>
    <x v="3"/>
    <s v="14.43"/>
    <s v="gleise"/>
    <s v="181 a 360"/>
    <s v="ACIONAMENTO"/>
    <x v="0"/>
  </r>
  <r>
    <s v="COGECOM"/>
    <n v="51041500"/>
    <s v="EDESIO DE CASTRO"/>
    <s v="OUT"/>
    <s v="OUTROS"/>
    <n v="72812753900"/>
    <x v="0"/>
    <s v="1357.19"/>
    <s v="368.78"/>
    <n v="358"/>
    <s v="NÃO LOCALIZADO"/>
    <s v="TELEFONES SEM ATENDIMENTO"/>
    <n v="0"/>
    <x v="3"/>
    <s v="14.43"/>
    <s v="gleise"/>
    <s v="181 a 360"/>
    <s v="ACIONAMENTO"/>
    <x v="0"/>
  </r>
  <r>
    <s v="COGECOM"/>
    <n v="3082278006"/>
    <s v="ELIZEU TROMBETA"/>
    <s v="OUT"/>
    <s v="OUTROS"/>
    <n v="21528683072"/>
    <x v="0"/>
    <s v="663.81"/>
    <s v="663.81"/>
    <n v="503"/>
    <s v="NÃO LOCALIZADO"/>
    <s v="TELEFONES SEM ATENDIMENTO"/>
    <n v="0"/>
    <x v="3"/>
    <s v="14.44"/>
    <s v="gleise"/>
    <s v="Acima de 361"/>
    <s v="ACIONAMENTO"/>
    <x v="0"/>
  </r>
  <r>
    <s v="COGECOM"/>
    <n v="96903740"/>
    <s v="EMANOEL LUIZ DE OLIVEIRA"/>
    <s v="OUT"/>
    <s v="OUTROS"/>
    <n v="3715163909"/>
    <x v="0"/>
    <s v="562.79"/>
    <s v="562.79"/>
    <n v="197"/>
    <s v="NÃO LOCALIZADO"/>
    <s v="TELEFONES SEM ATENDIMENTO"/>
    <n v="0"/>
    <x v="3"/>
    <s v="14.45"/>
    <s v="gleise"/>
    <s v="181 a 360"/>
    <s v="ACIONAMENTO"/>
    <x v="0"/>
  </r>
  <r>
    <s v="COGECOM"/>
    <n v="10037149510"/>
    <s v="FELYPE RIBEIRO DA SILVA"/>
    <s v="OUT"/>
    <s v="OUTROS"/>
    <n v="4272301101"/>
    <x v="0"/>
    <s v="46.92"/>
    <s v="46.15"/>
    <n v="178"/>
    <s v="NÃO LOCALIZADO"/>
    <s v="TELEFONES SEM ATENDIMENTO"/>
    <n v="0"/>
    <x v="3"/>
    <s v="14.46"/>
    <s v="gleise"/>
    <s v="91 a 180"/>
    <s v="ACIONAMENTO"/>
    <x v="0"/>
  </r>
  <r>
    <s v="COGECOM"/>
    <n v="3011948669"/>
    <s v="FERNANDO BARBOSA DA SILVA"/>
    <s v="OUT"/>
    <s v="OUTROS"/>
    <n v="9963538878"/>
    <x v="0"/>
    <s v="279.39"/>
    <s v="82.31"/>
    <n v="592"/>
    <s v="SEM INTERESSE"/>
    <s v="NEGOCIAÇÃO VIA TELEFONE"/>
    <n v="0"/>
    <x v="3"/>
    <s v="9.37"/>
    <s v="anakeppe"/>
    <s v="Acima de 361"/>
    <s v="CPC"/>
    <x v="1"/>
  </r>
  <r>
    <s v="COGECOM"/>
    <n v="12321400"/>
    <s v="FILOGONIO PEDROSA DE LIMA"/>
    <s v="OUT"/>
    <s v="OUTROS"/>
    <n v="77685911868"/>
    <x v="0"/>
    <s v="405.34"/>
    <s v="30.76"/>
    <n v="230"/>
    <s v="NÃO LOCALIZADO"/>
    <s v="TELEFONES SEM ATENDIMENTO"/>
    <n v="0"/>
    <x v="3"/>
    <s v="10.48"/>
    <s v="gleise"/>
    <s v="181 a 360"/>
    <s v="ACIONAMENTO"/>
    <x v="0"/>
  </r>
  <r>
    <s v="COGECOM"/>
    <n v="52438004"/>
    <s v="FLAVIO CHAPELA"/>
    <s v="OUT"/>
    <s v="OUTROS"/>
    <n v="6942767824"/>
    <x v="0"/>
    <s v="43.45"/>
    <s v="110.43"/>
    <n v="191"/>
    <s v="SEM INTERESSE"/>
    <s v="NEGOCIAÇÃO VIA TELEFONE"/>
    <n v="0"/>
    <x v="3"/>
    <s v="14.48"/>
    <s v="gleise"/>
    <s v="181 a 360"/>
    <s v="CPC"/>
    <x v="1"/>
  </r>
  <r>
    <s v="COGECOM"/>
    <n v="86819976"/>
    <s v="FLIP EVENTOS LTDA"/>
    <s v="OUT"/>
    <s v="OUTROS"/>
    <n v="30434436000150"/>
    <x v="0"/>
    <s v="2487.55"/>
    <s v="2487.55"/>
    <n v="428"/>
    <s v="NÃO LOCALIZADO"/>
    <s v="TELEFONES SEM ATENDIMENTO"/>
    <n v="0"/>
    <x v="3"/>
    <s v="9.39"/>
    <s v="gleise"/>
    <s v="Acima de 361"/>
    <s v="ACIONAMENTO"/>
    <x v="0"/>
  </r>
  <r>
    <s v="COGECOM"/>
    <n v="50549925"/>
    <s v="GRAYCE DOS SANTOS SILVA LIMA"/>
    <s v="OUT"/>
    <s v="OUTROS"/>
    <n v="9516266711"/>
    <x v="0"/>
    <s v="313.12"/>
    <s v="132.49"/>
    <n v="204"/>
    <s v="NÃO LOCALIZADO"/>
    <s v="TELEFONES SEM ATENDIMENTO"/>
    <n v="0"/>
    <x v="3"/>
    <s v="16.55"/>
    <s v="gleise"/>
    <s v="181 a 360"/>
    <s v="ACIONAMENTO"/>
    <x v="0"/>
  </r>
  <r>
    <s v="COGECOM"/>
    <n v="3003055632"/>
    <s v="GUILHERME ELIER MARTINS"/>
    <s v="OUT"/>
    <s v="OUTROS"/>
    <n v="6917855626"/>
    <x v="0"/>
    <s v="210.23"/>
    <s v="87.72"/>
    <n v="197"/>
    <s v="NÃO LOCALIZADO"/>
    <s v="TELEFONES SEM ATENDIMENTO"/>
    <n v="0"/>
    <x v="3"/>
    <s v="14.49"/>
    <s v="gleise"/>
    <s v="181 a 360"/>
    <s v="ACIONAMENTO"/>
    <x v="0"/>
  </r>
  <r>
    <s v="COGECOM"/>
    <n v="20459858"/>
    <s v="INDIANARA DIAS DOS SANTOS"/>
    <s v="OUT"/>
    <s v="OUTROS"/>
    <n v="63110474972"/>
    <x v="0"/>
    <s v="1609.05"/>
    <s v="155.54"/>
    <n v="685"/>
    <s v="SEM INTERESSE"/>
    <s v="NEGOCIAÇÃO VIA TELEFONE"/>
    <n v="0"/>
    <x v="3"/>
    <s v="9.53"/>
    <s v="anakeppe"/>
    <s v="Acima de 361"/>
    <s v="CPC"/>
    <x v="1"/>
  </r>
  <r>
    <s v="COGECOM"/>
    <n v="65735498"/>
    <s v="ISNALDO MATHEUS SOUZA MONTEIRO DOS SANTOS"/>
    <s v="OUT"/>
    <s v="OUTROS"/>
    <n v="1055693998"/>
    <x v="0"/>
    <s v="369.92"/>
    <s v="124.50"/>
    <n v="447"/>
    <m/>
    <s v="SOLICITAR EXTINÇÃO DA AÇÃO"/>
    <n v="9999"/>
    <x v="3"/>
    <s v="14.52"/>
    <s v="gleise"/>
    <s v="Acima de 361"/>
    <s v="ACIONAMENTO"/>
    <x v="4"/>
  </r>
  <r>
    <s v="COGECOM"/>
    <n v="3095526734"/>
    <s v="JEAN CARLO MULLER MIRI"/>
    <s v="OUT"/>
    <s v="OUTROS"/>
    <n v="1649846070"/>
    <x v="0"/>
    <s v="1080.50"/>
    <s v="240.91"/>
    <n v="397"/>
    <s v="NÃO LOCALIZADO"/>
    <s v="SOLICITAR EXTINÇÃO DA AÇÃO"/>
    <n v="4"/>
    <x v="3"/>
    <s v="16.55"/>
    <s v="anakeppe"/>
    <s v="Acima de 361"/>
    <s v="ACIONAMENTO"/>
    <x v="0"/>
  </r>
  <r>
    <s v="COGECOM"/>
    <n v="3091272602"/>
    <s v="JHONE RICARDO CIMA PINTO"/>
    <s v="OUT"/>
    <s v="OUTROS"/>
    <n v="1557115044"/>
    <x v="0"/>
    <s v="1184.82"/>
    <s v="281.06"/>
    <n v="316"/>
    <s v="NÃO LOCALIZADO"/>
    <s v="TELEFONES SEM ATENDIMENTO"/>
    <n v="0"/>
    <x v="3"/>
    <s v="14.52"/>
    <s v="gleise"/>
    <s v="181 a 360"/>
    <s v="ACIONAMENTO"/>
    <x v="0"/>
  </r>
  <r>
    <s v="COGECOM"/>
    <n v="38269694"/>
    <s v="JOÃO EDSON VILAR"/>
    <s v="OUT"/>
    <s v="OUTROS"/>
    <n v="8910394811"/>
    <x v="0"/>
    <s v="916.88"/>
    <s v="916.88"/>
    <n v="1110"/>
    <s v="AG RESPOSTA 1º CONTATO"/>
    <s v="ENVIADO MSG/E-MAIL 1º CONTATO"/>
    <n v="0"/>
    <x v="3"/>
    <s v="10.56"/>
    <s v="l.quadros"/>
    <s v="Acima de 361"/>
    <s v="ACIONAMENTO"/>
    <x v="4"/>
  </r>
  <r>
    <s v="COGECOM"/>
    <n v="10012027403"/>
    <s v="JOAO PAULO DE MEDEIROS ARAUJO"/>
    <s v="OUT"/>
    <s v="OUTROS"/>
    <n v="3590827181"/>
    <x v="0"/>
    <s v="360.75"/>
    <s v="61.53"/>
    <n v="227"/>
    <s v="NÃO LOCALIZADO"/>
    <s v="TELEFONES SEM ATENDIMENTO"/>
    <n v="0"/>
    <x v="3"/>
    <s v="17.03"/>
    <s v="gleise"/>
    <s v="181 a 360"/>
    <s v="ACIONAMENTO"/>
    <x v="0"/>
  </r>
  <r>
    <s v="COGECOM"/>
    <n v="3011014957"/>
    <s v="JOSE GERALDO COUTO"/>
    <s v="OUT"/>
    <s v="OUTROS"/>
    <n v="74619284653"/>
    <x v="0"/>
    <s v="431.00"/>
    <s v="405.95"/>
    <n v="344"/>
    <s v="SEM INTERESSE"/>
    <s v="NEGOCIAÇÃO VIA TELEFONE"/>
    <n v="0"/>
    <x v="3"/>
    <s v="17.00"/>
    <s v="gleise"/>
    <s v="181 a 360"/>
    <s v="CPC"/>
    <x v="1"/>
  </r>
  <r>
    <s v="COGECOM"/>
    <n v="48127517"/>
    <s v="JOSE MARCOS DOS SANTOS"/>
    <s v="OUT"/>
    <s v="OUTROS"/>
    <n v="79345220968"/>
    <x v="0"/>
    <s v="259.72"/>
    <s v="259.72"/>
    <n v="378"/>
    <s v="SEM INTERESSE"/>
    <s v="NEGOCIAÇÃO VIA TELEFONE"/>
    <n v="0"/>
    <x v="3"/>
    <s v="13.18"/>
    <s v="gleise"/>
    <s v="Acima de 361"/>
    <s v="CPC"/>
    <x v="1"/>
  </r>
  <r>
    <s v="COGECOM"/>
    <n v="18418967"/>
    <s v="JULIANA CAPRINI MATANA"/>
    <s v="OUT"/>
    <s v="OUTROS"/>
    <n v="619951001"/>
    <x v="0"/>
    <s v="132.66"/>
    <s v="118.33"/>
    <n v="378"/>
    <s v="SEM INTERESSE"/>
    <s v="GERAÇÃO DE ACORDO"/>
    <n v="17"/>
    <x v="3"/>
    <s v="17.16"/>
    <s v="l.quadros"/>
    <s v="Acima de 361"/>
    <s v="CPC"/>
    <x v="1"/>
  </r>
  <r>
    <s v="COGECOM"/>
    <n v="3095576388"/>
    <s v="JULIANO DA SILVA KASTEN"/>
    <s v="OUT"/>
    <s v="OUTROS"/>
    <n v="99927780087"/>
    <x v="0"/>
    <s v="969.95"/>
    <s v="315.14"/>
    <n v="244"/>
    <s v="NÃO LOCALIZADO"/>
    <s v="TELEFONES SEM ATENDIMENTO"/>
    <n v="0"/>
    <x v="3"/>
    <s v="13.07"/>
    <s v="gleise"/>
    <s v="181 a 360"/>
    <s v="ACIONAMENTO"/>
    <x v="0"/>
  </r>
  <r>
    <s v="COGECOM"/>
    <n v="96368829"/>
    <s v="KAIRO EDGAR BRISKY"/>
    <s v="OUT"/>
    <s v="OUTROS"/>
    <n v="3337886990"/>
    <x v="0"/>
    <s v="688.78"/>
    <s v="184.85"/>
    <n v="565"/>
    <s v="NÃO LOCALIZADO"/>
    <s v="TELEFONES SEM ATENDIMENTO"/>
    <n v="0"/>
    <x v="3"/>
    <s v="17.01"/>
    <s v="gleise"/>
    <s v="Acima de 361"/>
    <s v="ACIONAMENTO"/>
    <x v="0"/>
  </r>
  <r>
    <s v="COGECOM"/>
    <n v="77219538"/>
    <s v="LA MORADA 041 CARNES NOBRES LTDA"/>
    <s v="OUT"/>
    <s v="OUTROS"/>
    <n v="26508987000143"/>
    <x v="0"/>
    <s v="5933.48"/>
    <s v="1057.04"/>
    <n v="1225"/>
    <s v="SEM INTERESSE"/>
    <s v="NEGOCIAÇÃO VIA TELEFONE"/>
    <n v="0"/>
    <x v="3"/>
    <s v="10.34"/>
    <s v="anakeppe"/>
    <s v="Acima de 361"/>
    <s v="CPC"/>
    <x v="1"/>
  </r>
  <r>
    <s v="COGECOM"/>
    <n v="3014696391"/>
    <s v="LELIS SEBASTIAO DA SILVA"/>
    <s v="OUT"/>
    <s v="OUTROS"/>
    <n v="36322610678"/>
    <x v="0"/>
    <s v="108.77"/>
    <s v="108.77"/>
    <n v="250"/>
    <s v="SEM INTERESSE"/>
    <s v="NEGOCIAÇÃO VIA TELEFONE"/>
    <n v="0"/>
    <x v="3"/>
    <s v="9.31"/>
    <s v="gleise"/>
    <s v="181 a 360"/>
    <s v="CPC"/>
    <x v="1"/>
  </r>
  <r>
    <s v="COGECOM"/>
    <n v="7851456"/>
    <s v="LIRIAN BATISTA TAVARES"/>
    <s v="OUT"/>
    <s v="OUTROS"/>
    <n v="3125448980"/>
    <x v="0"/>
    <s v="131.40"/>
    <s v="79.68"/>
    <n v="474"/>
    <s v="NÃO LOCALIZADO"/>
    <s v="TELEFONES SEM ATENDIMENTO"/>
    <n v="0"/>
    <x v="3"/>
    <s v="17.07"/>
    <s v="gleise"/>
    <s v="Acima de 361"/>
    <s v="ACIONAMENTO"/>
    <x v="0"/>
  </r>
  <r>
    <s v="COGECOM"/>
    <n v="3013604734"/>
    <s v="LUCAS DUARTE DE OLIVEIRA"/>
    <s v="OUT"/>
    <s v="OUTROS"/>
    <n v="9998958695"/>
    <x v="0"/>
    <s v="1134.31"/>
    <s v="331.96"/>
    <n v="448"/>
    <s v="SEM INTERESSE"/>
    <s v="NEGOCIAÇÃO VIA TELEFONE"/>
    <n v="0"/>
    <x v="3"/>
    <s v="9.33"/>
    <s v="anakeppe"/>
    <s v="Acima de 361"/>
    <s v="CPC"/>
    <x v="1"/>
  </r>
  <r>
    <s v="COGECOM"/>
    <n v="86638149"/>
    <s v="LUCIANA DIAS"/>
    <s v="OUT"/>
    <s v="OUTROS"/>
    <n v="801449936"/>
    <x v="0"/>
    <s v="789.45"/>
    <s v="181.91"/>
    <n v="271"/>
    <s v="NÃO LOCALIZADO"/>
    <s v="TELEFONES SEM ATENDIMENTO"/>
    <n v="0"/>
    <x v="3"/>
    <s v="14.58"/>
    <s v="gleise"/>
    <s v="181 a 360"/>
    <s v="ACIONAMENTO"/>
    <x v="0"/>
  </r>
  <r>
    <s v="COGECOM"/>
    <n v="54394853"/>
    <s v="LUCIANO LIMA DE SOUZA"/>
    <s v="OUT"/>
    <s v="OUTROS"/>
    <n v="1888131950"/>
    <x v="0"/>
    <s v="449.08"/>
    <s v="165.78"/>
    <n v="191"/>
    <s v="AG RESPOSTA 1º CONTATO"/>
    <s v="ENVIADO MSG/E-MAIL 1º CONTATO"/>
    <n v="0"/>
    <x v="3"/>
    <s v="11.21"/>
    <s v="l.quadros"/>
    <s v="181 a 360"/>
    <s v="ACIONAMENTO"/>
    <x v="4"/>
  </r>
  <r>
    <s v="COGECOM"/>
    <n v="10035301110"/>
    <s v="LUIZ FERNANDO ALVES DE OLIVEIRA"/>
    <s v="OUT"/>
    <s v="OUTROS"/>
    <n v="3148722132"/>
    <x v="0"/>
    <s v="246.16"/>
    <s v="51.19"/>
    <n v="342"/>
    <s v="NÃO LOCALIZADO"/>
    <s v="TELEFONES SEM ATENDIMENTO"/>
    <n v="0"/>
    <x v="3"/>
    <s v="11.28"/>
    <s v="gleise"/>
    <s v="181 a 360"/>
    <s v="ACIONAMENTO"/>
    <x v="0"/>
  </r>
  <r>
    <s v="COGECOM"/>
    <n v="3005958566"/>
    <s v="LUIZA VIRGINIA ALVES DE SOUZA"/>
    <s v="OUT"/>
    <s v="OUTROS"/>
    <n v="97266493668"/>
    <x v="0"/>
    <s v="586.66"/>
    <s v="133.02"/>
    <n v="447"/>
    <s v="NÃO LOCALIZADO"/>
    <s v="TELEFONES SEM ATENDIMENTO"/>
    <n v="0"/>
    <x v="3"/>
    <s v="11.20"/>
    <s v="gleise"/>
    <s v="Acima de 361"/>
    <s v="ACIONAMENTO"/>
    <x v="0"/>
  </r>
  <r>
    <s v="COGECOM"/>
    <n v="3085604732"/>
    <s v="MARCIO DARLAN MANTHEY"/>
    <s v="OUT"/>
    <s v="OUTROS"/>
    <n v="98217658072"/>
    <x v="0"/>
    <s v="489.57"/>
    <s v="489.57"/>
    <n v="502"/>
    <s v="NÃO LOCALIZADO"/>
    <s v="TELEFONES SEM ATENDIMENTO"/>
    <n v="0"/>
    <x v="3"/>
    <s v="10.43"/>
    <s v="gleise"/>
    <s v="Acima de 361"/>
    <s v="ACIONAMENTO"/>
    <x v="0"/>
  </r>
  <r>
    <s v="COGECOM"/>
    <n v="10033578395"/>
    <s v="MARCIO ISSAMU SAITO JUNIOR"/>
    <s v="OUT"/>
    <s v="OUTROS"/>
    <n v="70142401102"/>
    <x v="0"/>
    <s v="934.82"/>
    <s v="127.69"/>
    <n v="336"/>
    <s v="SEM INTERESSE"/>
    <s v="NEGOCIAÇÃO VIA TELEFONE"/>
    <n v="0"/>
    <x v="3"/>
    <s v="11.37"/>
    <s v="anakeppe"/>
    <s v="181 a 360"/>
    <s v="CPC"/>
    <x v="1"/>
  </r>
  <r>
    <s v="COGECOM"/>
    <n v="3004209831"/>
    <s v="MARGARETE DE SOUZA"/>
    <s v="OUT"/>
    <s v="OUTROS"/>
    <n v="76107353704"/>
    <x v="0"/>
    <s v="892.00"/>
    <s v="103.04"/>
    <n v="314"/>
    <s v="AG RESPOSTA 1º CONTATO"/>
    <s v="ENVIADO MSG/E-MAIL 1º CONTATO"/>
    <n v="0"/>
    <x v="3"/>
    <s v="11.46"/>
    <s v="anakeppe"/>
    <s v="181 a 360"/>
    <s v="ACIONAMENTO"/>
    <x v="4"/>
  </r>
  <r>
    <s v="COGECOM"/>
    <n v="1390149460"/>
    <s v="MARIA ESTELA OLIVEIRA MARTINS"/>
    <s v="OUT"/>
    <s v="OUTROS"/>
    <n v="60029641187"/>
    <x v="0"/>
    <s v="428.96"/>
    <s v="91.88"/>
    <n v="228"/>
    <s v="SEM INTERESSE"/>
    <s v="NEGOCIAÇÃO VIA TELEFONE"/>
    <n v="0"/>
    <x v="3"/>
    <s v="9.35"/>
    <s v="gleise"/>
    <s v="181 a 360"/>
    <s v="CPC"/>
    <x v="1"/>
  </r>
  <r>
    <s v="COGECOM"/>
    <n v="10024532930"/>
    <s v="MARIA NILVA MESQUITA NASCIMENTO"/>
    <s v="OUT"/>
    <s v="OUTROS"/>
    <n v="82787298168"/>
    <x v="0"/>
    <s v="481.87"/>
    <s v="127.58"/>
    <n v="232"/>
    <s v="AG RESPOSTA 1º CONTATO"/>
    <s v="ENVIADO MSG/E-MAIL 1º CONTATO"/>
    <n v="0"/>
    <x v="3"/>
    <s v="11.56"/>
    <s v="l.quadros"/>
    <s v="181 a 360"/>
    <s v="ACIONAMENTO"/>
    <x v="4"/>
  </r>
  <r>
    <s v="COGECOM"/>
    <n v="2860248712"/>
    <s v="MARIA REGINA MARTINS COSTA"/>
    <s v="OUT"/>
    <s v="OUTROS"/>
    <n v="22407103149"/>
    <x v="0"/>
    <s v="648.16"/>
    <s v="72.82"/>
    <n v="335"/>
    <s v="NÃO LOCALIZADO"/>
    <s v="TELEFONES SEM ATENDIMENTO"/>
    <n v="0"/>
    <x v="3"/>
    <s v="10.38"/>
    <s v="gleise"/>
    <s v="181 a 360"/>
    <s v="ACIONAMENTO"/>
    <x v="0"/>
  </r>
  <r>
    <s v="COGECOM"/>
    <n v="3080126746"/>
    <s v="MATEUS KERN DE BONA SANTANNA DE LIMA"/>
    <s v="OUT"/>
    <s v="OUTROS"/>
    <n v="3378930047"/>
    <x v="0"/>
    <s v="528.85"/>
    <s v="145.64"/>
    <n v="334"/>
    <s v="AG RESPOSTA 1º CONTATO"/>
    <s v="ENVIADO MSG/E-MAIL 1º CONTATO"/>
    <n v="0"/>
    <x v="3"/>
    <s v="14.14"/>
    <s v="l.quadros"/>
    <s v="181 a 360"/>
    <s v="ACIONAMENTO"/>
    <x v="4"/>
  </r>
  <r>
    <s v="COGECOM"/>
    <n v="16940386"/>
    <s v="POLLYANNA BRITO SILVA NOGUEIRA"/>
    <s v="OUT"/>
    <s v="OUTROS"/>
    <n v="1118376188"/>
    <x v="0"/>
    <s v="1481.93"/>
    <s v="312.66"/>
    <n v="243"/>
    <s v="SEM INTERESSE"/>
    <s v="NEGOCIAÇÃO VIA TELEFONE"/>
    <n v="0"/>
    <x v="3"/>
    <s v="10.37"/>
    <s v="anakeppe"/>
    <s v="181 a 360"/>
    <s v="CPC"/>
    <x v="1"/>
  </r>
  <r>
    <s v="COGECOM"/>
    <n v="10034536203"/>
    <s v="PRISCILA DE JESUS MENDONÇA"/>
    <s v="OUT"/>
    <s v="OUTROS"/>
    <n v="3235463151"/>
    <x v="0"/>
    <s v="906.68"/>
    <s v="73.29"/>
    <n v="224"/>
    <s v="AG RESPOSTA 1º CONTATO"/>
    <s v="ENVIADO MSG/E-MAIL 1º CONTATO"/>
    <n v="0"/>
    <x v="3"/>
    <s v="12.01"/>
    <s v="l.quadros"/>
    <s v="181 a 360"/>
    <s v="ACIONAMENTO"/>
    <x v="4"/>
  </r>
  <r>
    <s v="COGECOM"/>
    <n v="59537868"/>
    <s v="RENATO ALESSANDRO FACHIANO"/>
    <s v="OUT"/>
    <s v="OUTROS"/>
    <n v="28937883864"/>
    <x v="0"/>
    <s v="180.89"/>
    <s v="81.40"/>
    <n v="477"/>
    <s v="NÃO LOCALIZADO"/>
    <s v="TELEFONES SEM ATENDIMENTO"/>
    <n v="0"/>
    <x v="3"/>
    <s v="15.13"/>
    <s v="gleise"/>
    <s v="Acima de 361"/>
    <s v="ACIONAMENTO"/>
    <x v="0"/>
  </r>
  <r>
    <s v="COGECOM"/>
    <n v="10018060011"/>
    <s v="ROBER JUNIO DE SOUZA SILVA"/>
    <s v="OUT"/>
    <s v="OUTROS"/>
    <n v="88400719115"/>
    <x v="0"/>
    <s v="1113.01"/>
    <s v="193.68"/>
    <n v="207"/>
    <s v="NÃO LOCALIZADO"/>
    <s v="TELEFONES SEM ATENDIMENTO"/>
    <n v="0"/>
    <x v="3"/>
    <s v="11.13"/>
    <s v="gleise"/>
    <s v="181 a 360"/>
    <s v="ACIONAMENTO"/>
    <x v="0"/>
  </r>
  <r>
    <s v="COGECOM"/>
    <n v="30697618"/>
    <s v="SUPERMERCADO COMPRE MAISS"/>
    <s v="OUT"/>
    <s v="OUTROS"/>
    <n v="29845207000149"/>
    <x v="0"/>
    <s v="4562.69"/>
    <s v="1383.02"/>
    <n v="539"/>
    <s v="AG RESPOSTA 1º CONTATO"/>
    <s v="ENVIADO MSG/E-MAIL 1º CONTATO"/>
    <n v="0"/>
    <x v="3"/>
    <s v="17.35"/>
    <s v="l.quadros"/>
    <s v="Acima de 361"/>
    <s v="ACIONAMENTO"/>
    <x v="4"/>
  </r>
  <r>
    <s v="COGECOM"/>
    <n v="2234122"/>
    <s v="SUPERMERCADO DALMUTT"/>
    <s v="OUT"/>
    <s v="OUTROS"/>
    <n v="13217656000102"/>
    <x v="0"/>
    <s v="1494.06"/>
    <s v="1494.06"/>
    <n v="770"/>
    <s v="NÃO LOCALIZADO"/>
    <s v="ENVIADO MSG/E-MAIL 1º CONTATO"/>
    <n v="0"/>
    <x v="3"/>
    <s v="10.53"/>
    <s v="l.quadros"/>
    <s v="Acima de 361"/>
    <s v="ACIONAMENTO"/>
    <x v="0"/>
  </r>
  <r>
    <s v="COGECOM"/>
    <n v="108960110"/>
    <s v="TAIS CAROLINE DE ABREU"/>
    <s v="OUT"/>
    <s v="OUTROS"/>
    <n v="8087315995"/>
    <x v="0"/>
    <s v="1657.29"/>
    <s v="297.41"/>
    <n v="313"/>
    <s v="AG RESPOSTA 1º CONTATO"/>
    <s v="ENVIADO MSG/E-MAIL 1º CONTATO"/>
    <n v="0"/>
    <x v="3"/>
    <s v="13.39"/>
    <s v="l.quadros"/>
    <s v="181 a 360"/>
    <s v="ACIONAMENTO"/>
    <x v="4"/>
  </r>
  <r>
    <s v="COGECOM"/>
    <n v="41577703"/>
    <s v="TASSIANA CRISTINA MARTINS GRABOVSKI"/>
    <s v="OUT"/>
    <s v="OUTROS"/>
    <n v="14484188000103"/>
    <x v="0"/>
    <s v="2288.08"/>
    <s v="2288.08"/>
    <n v="1309"/>
    <s v="SEM INTERESSE"/>
    <s v="NEGOCIAÇÃO VIA TELEFONE"/>
    <n v="0"/>
    <x v="3"/>
    <s v="11.31"/>
    <s v="gleise"/>
    <s v="Acima de 361"/>
    <s v="CPC"/>
    <x v="1"/>
  </r>
  <r>
    <s v="COGECOM"/>
    <n v="103704566"/>
    <s v="VAGNER ROGÉRIO DOS SANTOS"/>
    <s v="OUT"/>
    <s v="OUTROS"/>
    <n v="74322060900"/>
    <x v="0"/>
    <s v="451.26"/>
    <s v="170.52"/>
    <n v="461"/>
    <s v="SEM INTERESSE"/>
    <s v="NEGOCIAÇÃO VIA TELEFONE"/>
    <n v="0"/>
    <x v="3"/>
    <s v="11.18"/>
    <s v="anakeppe"/>
    <s v="Acima de 361"/>
    <s v="CPC"/>
    <x v="1"/>
  </r>
  <r>
    <s v="COGECOM"/>
    <n v="97313823"/>
    <s v="VH ENDRES PEÇAS AUTOMOTIVAS ME"/>
    <s v="OUT"/>
    <s v="OUTROS"/>
    <n v="10315639000110"/>
    <x v="0"/>
    <s v="2290.94"/>
    <s v="923.29"/>
    <n v="1024"/>
    <s v="NÃO LOCALIZADO"/>
    <s v="TELEFONES SEM ATENDIMENTO"/>
    <n v="0"/>
    <x v="3"/>
    <s v="9.42"/>
    <s v="gleise"/>
    <s v="Acima de 361"/>
    <s v="ACIONAMENTO"/>
    <x v="0"/>
  </r>
  <r>
    <s v="COGECOM"/>
    <n v="10030585501"/>
    <s v="VIVIANE COUTINHO DA CUNHA"/>
    <s v="OUT"/>
    <s v="OUTROS"/>
    <n v="1144010128"/>
    <x v="0"/>
    <s v="762.36"/>
    <s v="48.25"/>
    <n v="342"/>
    <s v="SEM INTERESSE"/>
    <s v="NEGOCIAÇÃO VIA TELEFONE"/>
    <n v="0"/>
    <x v="3"/>
    <s v="15.23"/>
    <s v="anakeppe"/>
    <s v="181 a 360"/>
    <s v="CPC"/>
    <x v="1"/>
  </r>
  <r>
    <s v="COGECOM"/>
    <n v="15328600"/>
    <s v="WELER BARBOSA DOS REIS"/>
    <s v="OUT"/>
    <s v="OUTROS"/>
    <n v="86810235191"/>
    <x v="0"/>
    <s v="753.44"/>
    <s v="76.91"/>
    <n v="305"/>
    <s v="AG RESPOSTA 1º CONTATO"/>
    <s v="ENVIADO MSG/E-MAIL 1º CONTATO"/>
    <n v="0"/>
    <x v="3"/>
    <s v="10.11"/>
    <s v="l.quadros"/>
    <s v="181 a 360"/>
    <s v="ACIONAMENTO"/>
    <x v="4"/>
  </r>
  <r>
    <s v="COGECOM"/>
    <n v="108566064"/>
    <s v="WELINGTON CARLOS KAPP ALBERTY"/>
    <s v="OUT"/>
    <s v="OUTROS"/>
    <n v="11534002944"/>
    <x v="0"/>
    <s v="1895.76"/>
    <s v="1111.46"/>
    <n v="334"/>
    <s v="NÃO LOCALIZADO"/>
    <s v="TELEFONES SEM ATENDIMENTO"/>
    <n v="0"/>
    <x v="3"/>
    <s v="11.53"/>
    <s v="gleise"/>
    <s v="181 a 360"/>
    <s v="ACIONAMENTO"/>
    <x v="0"/>
  </r>
  <r>
    <s v="COGECOM"/>
    <n v="3090908048"/>
    <s v="MARCELO KROLIKOWSKI NUNES"/>
    <s v="OUT"/>
    <s v="OUTROS"/>
    <n v="98391178072"/>
    <x v="0"/>
    <s v="562.56"/>
    <s v="847.84"/>
    <n v="383"/>
    <s v="NÃO LOCALIZADO"/>
    <s v="TELEFONES SEM ATENDIMENTO"/>
    <n v="0"/>
    <x v="3"/>
    <s v="13.04"/>
    <s v="gleise"/>
    <s v="Acima de 361"/>
    <s v="ACIONAMENTO"/>
    <x v="0"/>
  </r>
  <r>
    <s v="COGECOM"/>
    <n v="107714078"/>
    <s v="PALOMA WOITKIW"/>
    <s v="OUT"/>
    <s v="OUTROS"/>
    <n v="10735954984"/>
    <x v="0"/>
    <s v="2502.59"/>
    <s v="489.38"/>
    <n v="247"/>
    <s v="NÃO LOCALIZADO"/>
    <s v="TELEFONES SEM ATENDIMENTO"/>
    <n v="0"/>
    <x v="3"/>
    <s v="10.53"/>
    <s v="gleise"/>
    <s v="181 a 360"/>
    <s v="ACIONAMENTO"/>
    <x v="0"/>
  </r>
  <r>
    <s v="COGECOM"/>
    <n v="47841020"/>
    <s v="WAGNER DIAS LADWIG"/>
    <s v="OUT"/>
    <s v="OUTROS"/>
    <n v="295489006"/>
    <x v="0"/>
    <s v="329.81"/>
    <s v="298.98"/>
    <n v="188"/>
    <s v="AG RESPOSTA 1º CONTATO"/>
    <s v="ALTERACAO DEBITO"/>
    <n v="7"/>
    <x v="3"/>
    <s v="12.37"/>
    <s v="p.quadros"/>
    <s v="181 a 360"/>
    <s v="ACIONAMENTO"/>
    <x v="4"/>
  </r>
  <r>
    <s v="COGECOM"/>
    <n v="101382120"/>
    <s v="FERNANDO PECCI DEO DA SILVA"/>
    <s v="OUT"/>
    <s v="OUTROS"/>
    <n v="5845740967"/>
    <x v="0"/>
    <s v="139.94"/>
    <s v="214.67"/>
    <n v="186"/>
    <s v="NÃO LOCALIZADO"/>
    <s v="TELEFONES SEM ATENDIMENTO"/>
    <n v="0"/>
    <x v="3"/>
    <s v="15.28"/>
    <s v="gleise"/>
    <s v="181 a 360"/>
    <s v="ACIONAMENTO"/>
    <x v="0"/>
  </r>
  <r>
    <s v="COGECOM"/>
    <n v="84123583"/>
    <s v="RICARDO MIRANDA DE JESUS"/>
    <s v="OUT"/>
    <s v="OUTROS"/>
    <n v="2366455950"/>
    <x v="0"/>
    <s v="833.40"/>
    <s v="201.78"/>
    <n v="232"/>
    <s v="NÃO LOCALIZADO"/>
    <s v="TELEFONES SEM ATENDIMENTO"/>
    <n v="0"/>
    <x v="3"/>
    <s v="15.27"/>
    <s v="gleise"/>
    <s v="181 a 360"/>
    <s v="ACIONAMENTO"/>
    <x v="0"/>
  </r>
  <r>
    <s v="COGECOM"/>
    <n v="3090911803"/>
    <s v="ADRIANO LUIZ VEDANA"/>
    <s v="OUT"/>
    <s v="OUTROS"/>
    <n v="5669689917"/>
    <x v="0"/>
    <s v="1025.57"/>
    <s v="167.30"/>
    <n v="223"/>
    <s v="SEM INTERESSE"/>
    <s v="NEGOCIAÇÃO VIA TELEFONE"/>
    <n v="0"/>
    <x v="3"/>
    <s v="10.42"/>
    <s v="anakeppe"/>
    <s v="181 a 360"/>
    <s v="CPC"/>
    <x v="1"/>
  </r>
  <r>
    <s v="COGECOM"/>
    <n v="3002089636"/>
    <s v="WILSON GONCALVES DE OLIVEIRA"/>
    <s v="OUT"/>
    <s v="OUTROS"/>
    <n v="69676577634"/>
    <x v="0"/>
    <s v="399.06"/>
    <s v="131.05"/>
    <n v="179"/>
    <s v="SEM CONDIÇÕES"/>
    <s v="NEGOCIAÇÃO VIA TELEFONE"/>
    <n v="0"/>
    <x v="3"/>
    <s v="14.21"/>
    <s v="gleise"/>
    <s v="91 a 180"/>
    <s v="CPC"/>
    <x v="3"/>
  </r>
  <r>
    <s v="COGECOM"/>
    <n v="3014870437"/>
    <s v="GUILHERME PLACIDO CORREA"/>
    <s v="OUT"/>
    <s v="OUTROS"/>
    <n v="13896165682"/>
    <x v="0"/>
    <s v="480.51"/>
    <s v="79.89"/>
    <n v="189"/>
    <s v="NÃO LOCALIZADO"/>
    <s v="TELEFONES SEM ATENDIMENTO"/>
    <n v="0"/>
    <x v="3"/>
    <s v="14.56"/>
    <s v="gleise"/>
    <s v="181 a 360"/>
    <s v="ACIONAMENTO"/>
    <x v="0"/>
  </r>
  <r>
    <s v="COGECOM"/>
    <n v="2130025499"/>
    <s v="ALCINDA NEVES DE SOUZA"/>
    <s v="OUT"/>
    <s v="OUTROS"/>
    <n v="11155663268"/>
    <x v="0"/>
    <s v="201.60"/>
    <s v="107.09"/>
    <n v="146"/>
    <s v="NÃO LOCALIZADO"/>
    <s v="TELEFONES SEM ATENDIMENTO"/>
    <n v="0"/>
    <x v="3"/>
    <s v="15.28"/>
    <s v="gleise"/>
    <s v="91 a 180"/>
    <s v="ACIONAMENTO"/>
    <x v="0"/>
  </r>
  <r>
    <s v="COGECOM"/>
    <n v="2440017146"/>
    <s v="ANTONIO MARCOS FERREIRA"/>
    <s v="OUT"/>
    <s v="OUTROS"/>
    <n v="15783499153"/>
    <x v="0"/>
    <s v="600.82"/>
    <s v="354.31"/>
    <n v="153"/>
    <s v="AG RESPOSTA 1º CONTATO"/>
    <s v="ENVIADO MSG/E-MAIL 1º CONTATO"/>
    <n v="0"/>
    <x v="3"/>
    <s v="9.40"/>
    <s v="l.quadros"/>
    <s v="91 a 180"/>
    <s v="ACIONAMENTO"/>
    <x v="4"/>
  </r>
  <r>
    <s v="COGECOM"/>
    <n v="1550002860"/>
    <s v="SANTANA PEREIRA DOS SANTOS"/>
    <s v="OUT"/>
    <s v="OUTROS"/>
    <n v="79022570100"/>
    <x v="0"/>
    <s v="512.47"/>
    <s v="145.11"/>
    <n v="159"/>
    <s v="NÃO LOCALIZADO"/>
    <s v="TELEFONES SEM ATENDIMENTO"/>
    <n v="0"/>
    <x v="3"/>
    <s v="11.19"/>
    <s v="gleise"/>
    <s v="91 a 180"/>
    <s v="ACIONAMENTO"/>
    <x v="0"/>
  </r>
  <r>
    <s v="COGECOM"/>
    <n v="10033652277"/>
    <s v="ALINE NUBIA OLIVEIRA SANTOS"/>
    <s v="OUT"/>
    <s v="OUTROS"/>
    <n v="99727129153"/>
    <x v="0"/>
    <s v="337.75"/>
    <s v="156.66"/>
    <n v="162"/>
    <s v="NÃO LOCALIZADO"/>
    <s v="TELEFONES SEM ATENDIMENTO"/>
    <n v="0"/>
    <x v="3"/>
    <s v="11.14"/>
    <s v="gleise"/>
    <s v="91 a 180"/>
    <s v="ACIONAMENTO"/>
    <x v="0"/>
  </r>
  <r>
    <s v="COGECOM"/>
    <n v="610178039"/>
    <s v="SILVIO ATAIDES DOS SANTOS LIMA"/>
    <s v="OUT"/>
    <s v="OUTROS"/>
    <n v="76596346153"/>
    <x v="0"/>
    <s v="413.07"/>
    <s v="125.59"/>
    <n v="176"/>
    <s v="NÃO LOCALIZADO"/>
    <s v="TELEFONES SEM ATENDIMENTO"/>
    <n v="0"/>
    <x v="3"/>
    <s v="10.37"/>
    <s v="gleise"/>
    <s v="91 a 180"/>
    <s v="ACIONAMENTO"/>
    <x v="0"/>
  </r>
  <r>
    <s v="COGECOM"/>
    <n v="8703825"/>
    <s v="VINICIUS FERNANDO PADILHA"/>
    <s v="OUT"/>
    <s v="OUTROS"/>
    <n v="4254484950"/>
    <x v="0"/>
    <s v="431.36"/>
    <s v="237.80"/>
    <n v="149"/>
    <s v="NÃO LOCALIZADO"/>
    <s v="TELEFONES SEM ATENDIMENTO"/>
    <n v="0"/>
    <x v="3"/>
    <s v="15.31"/>
    <s v="gleise"/>
    <s v="91 a 180"/>
    <s v="ACIONAMENTO"/>
    <x v="0"/>
  </r>
  <r>
    <s v="COGECOM"/>
    <n v="40966560"/>
    <s v="EMPÓRIO GALIA CUTELARIA E TABACARIA LTDA"/>
    <s v="OUT"/>
    <s v="OUTROS"/>
    <n v="18512362000127"/>
    <x v="0"/>
    <s v="4531.87"/>
    <s v="977.16"/>
    <n v="450"/>
    <s v="NÃO LOCALIZADO"/>
    <s v="TELEFONES SEM ATENDIMENTO"/>
    <n v="0"/>
    <x v="3"/>
    <s v="10.52"/>
    <s v="gleise"/>
    <s v="Acima de 361"/>
    <s v="ACIONAMENTO"/>
    <x v="0"/>
  </r>
  <r>
    <s v="COGECOM"/>
    <n v="44596946"/>
    <s v="COMUNIDADE TERAPÊUTICA ABRIGO DIVINA MISERICÓRDIA"/>
    <s v="OUT"/>
    <s v="OUTROS"/>
    <n v="7540942000101"/>
    <x v="0"/>
    <s v="3381.74"/>
    <s v="496.16"/>
    <n v="293"/>
    <s v="NÃO LOCALIZADO"/>
    <s v="TELEFONES SEM ATENDIMENTO"/>
    <n v="0"/>
    <x v="3"/>
    <s v="11.57"/>
    <s v="gleise"/>
    <s v="181 a 360"/>
    <s v="ACIONAMENTO"/>
    <x v="0"/>
  </r>
  <r>
    <s v="COGECOM"/>
    <n v="30286367"/>
    <s v="FABIANO CRESPO"/>
    <s v="OUT"/>
    <s v="OUTROS"/>
    <n v="85029254900"/>
    <x v="0"/>
    <s v="291.99"/>
    <s v="291.99"/>
    <n v="193"/>
    <s v="NÃO LOCALIZADO"/>
    <s v="TELEFONES SEM ATENDIMENTO"/>
    <n v="0"/>
    <x v="3"/>
    <s v="13.08"/>
    <s v="gleise"/>
    <s v="181 a 360"/>
    <s v="ACIONAMENTO"/>
    <x v="0"/>
  </r>
  <r>
    <s v="COGECOM"/>
    <n v="501050"/>
    <s v="KAROLLINE MARQUES DA SILVA"/>
    <s v="OUT"/>
    <s v="OUTROS"/>
    <n v="5903430929"/>
    <x v="0"/>
    <s v="828.57"/>
    <s v="200.29"/>
    <n v="174"/>
    <s v="NÃO LOCALIZADO"/>
    <s v="TELEFONES SEM ATENDIMENTO"/>
    <n v="0"/>
    <x v="3"/>
    <s v="15.33"/>
    <s v="gleise"/>
    <s v="91 a 180"/>
    <s v="ACIONAMENTO"/>
    <x v="0"/>
  </r>
  <r>
    <s v="COGECOM"/>
    <n v="22039040"/>
    <s v="NEMUEL CARLOS DOS SANTOS"/>
    <s v="OUT"/>
    <s v="OUTROS"/>
    <n v="980615933"/>
    <x v="0"/>
    <s v="146.44"/>
    <s v="146.44"/>
    <n v="152"/>
    <s v="NÃO LOCALIZADO"/>
    <s v="TELEFONES SEM ATENDIMENTO"/>
    <n v="0"/>
    <x v="3"/>
    <s v="15.33"/>
    <s v="gleise"/>
    <s v="91 a 180"/>
    <s v="ACIONAMENTO"/>
    <x v="0"/>
  </r>
  <r>
    <s v="COGECOM"/>
    <n v="59995378"/>
    <s v="LUCAS DE PAULA BATISTA BIQUETI"/>
    <s v="OUT"/>
    <s v="OUTROS"/>
    <n v="8719113960"/>
    <x v="0"/>
    <s v="5523.07"/>
    <s v="331.20"/>
    <n v="161"/>
    <s v="NÃO LOCALIZADO"/>
    <s v="TELEFONES SEM ATENDIMENTO"/>
    <n v="0"/>
    <x v="3"/>
    <s v="15.32"/>
    <s v="gleise"/>
    <s v="91 a 180"/>
    <s v="ACIONAMENTO"/>
    <x v="0"/>
  </r>
  <r>
    <s v="COGECOM"/>
    <n v="86502441"/>
    <s v="CLAYTON IGOR FERNANDES MARAFIGO"/>
    <s v="OUT"/>
    <s v="OUTROS"/>
    <n v="12268566919"/>
    <x v="0"/>
    <s v="381.21"/>
    <s v="55.52"/>
    <n v="162"/>
    <s v="NÃO LOCALIZADO"/>
    <s v="TELEFONES SEM ATENDIMENTO"/>
    <n v="0"/>
    <x v="3"/>
    <s v="15.34"/>
    <s v="gleise"/>
    <s v="91 a 180"/>
    <s v="ACIONAMENTO"/>
    <x v="0"/>
  </r>
  <r>
    <s v="COGECOM"/>
    <n v="37191446"/>
    <s v="PAULA CRISTINA CASARIN"/>
    <s v="OUT"/>
    <s v="OUTROS"/>
    <n v="99394979972"/>
    <x v="0"/>
    <s v="479.74"/>
    <s v="246.39"/>
    <n v="149"/>
    <s v="NÃO LOCALIZADO"/>
    <s v="TELEFONES SEM ATENDIMENTO"/>
    <n v="0"/>
    <x v="3"/>
    <s v="15.35"/>
    <s v="gleise"/>
    <s v="91 a 180"/>
    <s v="ACIONAMENTO"/>
    <x v="0"/>
  </r>
  <r>
    <s v="COGECOM"/>
    <n v="95980504"/>
    <s v="JEFFERSON ULISSES DA  CUNHA"/>
    <s v="OUT"/>
    <s v="OUTROS"/>
    <n v="2014895970"/>
    <x v="0"/>
    <s v="452.71"/>
    <s v="309.97"/>
    <n v="173"/>
    <s v="SEM INTERESSE"/>
    <s v="NEGOCIAÇÃO VIA TELEFONE"/>
    <n v="0"/>
    <x v="3"/>
    <s v="10.38"/>
    <s v="anakeppe"/>
    <s v="91 a 180"/>
    <s v="CPC"/>
    <x v="1"/>
  </r>
  <r>
    <s v="COGECOM"/>
    <n v="79680135"/>
    <s v="FRIGO LOPES COMERCIO DE CARNES LTDA"/>
    <s v="OUT"/>
    <s v="OUTROS"/>
    <n v="41437553000193"/>
    <x v="0"/>
    <s v="4969.39"/>
    <s v="417.17"/>
    <n v="161"/>
    <s v="NÃO LOCALIZADO"/>
    <s v="TELEFONES SEM ATENDIMENTO"/>
    <n v="0"/>
    <x v="3"/>
    <s v="10.28"/>
    <s v="gleise"/>
    <s v="91 a 180"/>
    <s v="ACIONAMENTO"/>
    <x v="0"/>
  </r>
  <r>
    <s v="COGECOM"/>
    <n v="3006352071"/>
    <s v="CARLA FERNANDA GARCIA CHAVES"/>
    <s v="OUT"/>
    <s v="OUTROS"/>
    <n v="5057658611"/>
    <x v="0"/>
    <s v="311.76"/>
    <s v="54.87"/>
    <n v="158"/>
    <s v="SEM INTERESSE"/>
    <s v="NEGOCIAÇÃO VIA TELEFONE"/>
    <n v="0"/>
    <x v="3"/>
    <s v="10.41"/>
    <s v="gleise"/>
    <s v="91 a 180"/>
    <s v="CPC"/>
    <x v="1"/>
  </r>
  <r>
    <s v="COGECOM"/>
    <n v="3013293660"/>
    <s v="JACKSON ESTEVES BRAGA"/>
    <s v="OUT"/>
    <s v="OUTROS"/>
    <n v="1426286627"/>
    <x v="0"/>
    <s v="254.87"/>
    <s v="82.69"/>
    <n v="164"/>
    <s v="NÃO LOCALIZADO"/>
    <s v="TELEFONES SEM ATENDIMENTO"/>
    <n v="0"/>
    <x v="3"/>
    <s v="15.36"/>
    <s v="gleise"/>
    <s v="91 a 180"/>
    <s v="ACIONAMENTO"/>
    <x v="0"/>
  </r>
  <r>
    <s v="COGECOM"/>
    <n v="3004716919"/>
    <s v="DANIEL FERREIRA DE OLIVEIRA"/>
    <s v="OUT"/>
    <s v="OUTROS"/>
    <n v="13352475644"/>
    <x v="0"/>
    <s v="204.05"/>
    <s v="38.64"/>
    <n v="158"/>
    <s v="SEM INTERESSE"/>
    <s v="SOLICITAR EXTINÇÃO DA AÇÃO"/>
    <n v="10"/>
    <x v="3"/>
    <s v="15.36"/>
    <s v="anakeppe"/>
    <s v="91 a 180"/>
    <s v="ACIONAMENTO"/>
    <x v="1"/>
  </r>
  <r>
    <s v="COGECOM"/>
    <n v="3003044971"/>
    <s v="MAURO AGEDI RODRIGUES MARTA"/>
    <s v="OUT"/>
    <s v="OUTROS"/>
    <n v="70574430059"/>
    <x v="0"/>
    <s v="266.65"/>
    <s v="266.65"/>
    <n v="152"/>
    <s v="NÃO LOCALIZADO"/>
    <s v="TELEFONES SEM ATENDIMENTO"/>
    <n v="0"/>
    <x v="3"/>
    <s v="15.37"/>
    <s v="gleise"/>
    <s v="91 a 180"/>
    <s v="ACIONAMENTO"/>
    <x v="0"/>
  </r>
  <r>
    <s v="COGECOM"/>
    <n v="3013192224"/>
    <s v="ALEXSANDRO NERES DE OLIVEIRA"/>
    <s v="OUT"/>
    <s v="OUTROS"/>
    <n v="4324190631"/>
    <x v="0"/>
    <s v="458.47"/>
    <s v="105.74"/>
    <n v="158"/>
    <s v="EM NEGOCIAÇÃO"/>
    <s v="NEGOCIAÇÃO VIA TELEFONE"/>
    <n v="0"/>
    <x v="3"/>
    <s v="15.39"/>
    <s v="gleise"/>
    <s v="91 a 180"/>
    <s v="CPC"/>
    <x v="2"/>
  </r>
  <r>
    <s v="COGECOM"/>
    <n v="3003656446"/>
    <s v="PABLO THEODORO VARGAS DOS SANTOS"/>
    <s v="OUT"/>
    <s v="OUTROS"/>
    <n v="31326394860"/>
    <x v="0"/>
    <s v="593.81"/>
    <s v="158.88"/>
    <n v="154"/>
    <m/>
    <s v="SOLICITAR EXTINÇÃO DA AÇÃO"/>
    <n v="9999"/>
    <x v="3"/>
    <s v="15.38"/>
    <s v="anakeppe"/>
    <s v="91 a 180"/>
    <s v="ACIONAMENTO"/>
    <x v="4"/>
  </r>
  <r>
    <s v="COGECOM"/>
    <n v="80243770"/>
    <s v="MARAISA ISHII ARALDI EIRELI"/>
    <s v="OUT"/>
    <s v="OUTROS"/>
    <n v="32863231000115"/>
    <x v="0"/>
    <s v="9002.88"/>
    <s v="4556.95"/>
    <n v="130"/>
    <s v="SEM INTERESSE"/>
    <s v="NEGOCIAÇÃO VIA TELEFONE"/>
    <n v="0"/>
    <x v="3"/>
    <s v="9.26"/>
    <s v="anakeppe"/>
    <s v="91 a 180"/>
    <s v="CPC"/>
    <x v="1"/>
  </r>
  <r>
    <s v="COGECOM"/>
    <n v="3001012645"/>
    <s v="LIAMAR SILVA DONHA VIALI"/>
    <s v="OUT"/>
    <s v="OUTROS"/>
    <n v="91326052691"/>
    <x v="0"/>
    <s v="2717.13"/>
    <s v="563.18"/>
    <n v="154"/>
    <s v="EM NEGOCIAÇÃO"/>
    <s v="NEGOCIAÇÃO VIA TELEFONE"/>
    <n v="0"/>
    <x v="3"/>
    <s v="15.43"/>
    <s v="anakeppe"/>
    <s v="91 a 180"/>
    <s v="CPC"/>
    <x v="2"/>
  </r>
  <r>
    <s v="COGECOM"/>
    <n v="84417803"/>
    <s v="ALISSON DIEGO LAZARINI"/>
    <s v="OUT"/>
    <s v="OUTROS"/>
    <n v="8352943901"/>
    <x v="0"/>
    <s v="2945.52"/>
    <s v="503.38"/>
    <n v="151"/>
    <s v="NÃO LOCALIZADO"/>
    <s v="TELEFONES SEM ATENDIMENTO"/>
    <n v="0"/>
    <x v="3"/>
    <s v="15.39"/>
    <s v="gleise"/>
    <s v="91 a 180"/>
    <s v="ACIONAMENTO"/>
    <x v="0"/>
  </r>
  <r>
    <s v="COGECOM"/>
    <n v="10980155"/>
    <s v="HELIA DE OLIVEIRA E SILVA"/>
    <s v="OUT"/>
    <s v="OUTROS"/>
    <n v="98400525191"/>
    <x v="0"/>
    <s v="1155.01"/>
    <s v="310.62"/>
    <n v="146"/>
    <s v="NÃO LOCALIZADO"/>
    <s v="TELEFONES SEM ATENDIMENTO"/>
    <n v="0"/>
    <x v="3"/>
    <s v="15.41"/>
    <s v="gleise"/>
    <s v="91 a 180"/>
    <s v="ACIONAMENTO"/>
    <x v="0"/>
  </r>
  <r>
    <s v="COGECOM"/>
    <n v="71534687"/>
    <s v="DIEGO ESTEVAN PEREIRA GAMARRA"/>
    <s v="OUT"/>
    <s v="OUTROS"/>
    <n v="7731662977"/>
    <x v="0"/>
    <s v="343.03"/>
    <s v="291.68"/>
    <n v="135"/>
    <s v="NÃO LOCALIZADO"/>
    <s v="TELEFONES SEM ATENDIMENTO"/>
    <n v="0"/>
    <x v="3"/>
    <s v="15.41"/>
    <s v="gleise"/>
    <s v="91 a 180"/>
    <s v="ACIONAMENTO"/>
    <x v="0"/>
  </r>
  <r>
    <s v="COGECOM"/>
    <n v="3000444715"/>
    <s v="MARTA LOPES GONCALVES"/>
    <s v="OUT"/>
    <s v="OUTROS"/>
    <n v="61523631600"/>
    <x v="0"/>
    <s v="266.22"/>
    <s v="266.22"/>
    <n v="148"/>
    <s v="NÃO LOCALIZADO"/>
    <s v="TELEFONES SEM ATENDIMENTO"/>
    <n v="0"/>
    <x v="3"/>
    <s v="10.44"/>
    <s v="gleise"/>
    <s v="91 a 180"/>
    <s v="ACIONAMENTO"/>
    <x v="0"/>
  </r>
  <r>
    <s v="COGECOM"/>
    <n v="41280334"/>
    <s v="MATHEUS FELLIPE QUEIROZ"/>
    <s v="OUT"/>
    <s v="OUTROS"/>
    <n v="8026604954"/>
    <x v="0"/>
    <s v="348.90"/>
    <s v="246.94"/>
    <n v="135"/>
    <s v="NÃO LOCALIZADO"/>
    <s v="TELEFONES SEM ATENDIMENTO"/>
    <n v="0"/>
    <x v="3"/>
    <s v="11.10"/>
    <s v="gleise"/>
    <s v="91 a 180"/>
    <s v="ACIONAMENTO"/>
    <x v="0"/>
  </r>
  <r>
    <s v="COGECOM"/>
    <n v="2020667396"/>
    <s v="ROSANGELA FATIMA PINHO RIBEIRO"/>
    <s v="OUT"/>
    <s v="OUTROS"/>
    <n v="12136477897"/>
    <x v="0"/>
    <s v="243.44"/>
    <s v="243.44"/>
    <n v="130"/>
    <s v="NÃO LOCALIZADO"/>
    <s v="TELEFONES SEM ATENDIMENTO"/>
    <n v="0"/>
    <x v="3"/>
    <s v="15.43"/>
    <s v="gleise"/>
    <s v="91 a 180"/>
    <s v="ACIONAMENTO"/>
    <x v="0"/>
  </r>
  <r>
    <s v="COGECOM"/>
    <n v="103847162"/>
    <s v="FELIPE ALYTON BRUGG"/>
    <s v="OUT"/>
    <s v="OUTROS"/>
    <n v="5281917994"/>
    <x v="0"/>
    <s v="837.00"/>
    <s v="242.25"/>
    <n v="135"/>
    <s v="NÃO LOCALIZADO"/>
    <s v="TELEFONES SEM ATENDIMENTO"/>
    <n v="0"/>
    <x v="3"/>
    <s v="15.42"/>
    <s v="gleise"/>
    <s v="91 a 180"/>
    <s v="ACIONAMENTO"/>
    <x v="0"/>
  </r>
  <r>
    <s v="COGECOM"/>
    <n v="109702158"/>
    <s v="HENRIQUE GILBERTO CORREIA DE SOUZA"/>
    <s v="OUT"/>
    <s v="OUTROS"/>
    <n v="8299396956"/>
    <x v="0"/>
    <s v="750.16"/>
    <s v="189.97"/>
    <n v="135"/>
    <s v="NÃO LOCALIZADO"/>
    <s v="TELEFONES SEM ATENDIMENTO"/>
    <n v="0"/>
    <x v="3"/>
    <s v="15.45"/>
    <s v="gleise"/>
    <s v="91 a 180"/>
    <s v="ACIONAMENTO"/>
    <x v="0"/>
  </r>
  <r>
    <s v="COGECOM"/>
    <n v="11548307"/>
    <s v="EMPORIO AKI TEM GOURMET LTDA"/>
    <s v="OUT"/>
    <s v="OUTROS"/>
    <n v="39997956000145"/>
    <x v="0"/>
    <s v="187.03"/>
    <s v="187.03"/>
    <n v="148"/>
    <s v="AG RESPOSTA 1º CONTATO"/>
    <s v="POSSÍVEL FRAUDE"/>
    <n v="0"/>
    <x v="3"/>
    <s v="9.11"/>
    <s v="l.quadros"/>
    <s v="91 a 180"/>
    <s v="ACIONAMENTO"/>
    <x v="4"/>
  </r>
  <r>
    <s v="COGECOM"/>
    <n v="3002291025"/>
    <s v="ROSELEINE MACIEL CASTRO"/>
    <s v="OUT"/>
    <s v="OUTROS"/>
    <n v="94925798715"/>
    <x v="0"/>
    <s v="171.67"/>
    <s v="171.67"/>
    <n v="131"/>
    <s v="SEM INTERESSE"/>
    <s v="NEGOCIAÇÃO VIA TELEFONE"/>
    <n v="0"/>
    <x v="3"/>
    <s v="15.44"/>
    <s v="gleise"/>
    <s v="91 a 180"/>
    <s v="CPC"/>
    <x v="1"/>
  </r>
  <r>
    <s v="COGECOM"/>
    <n v="15958401"/>
    <s v="LAZARO FRANCISCO DA SILVA"/>
    <s v="OUT"/>
    <s v="OUTROS"/>
    <n v="43798780153"/>
    <x v="0"/>
    <s v="632.19"/>
    <s v="170.88"/>
    <n v="146"/>
    <s v="NÃO LOCALIZADO"/>
    <s v="TELEFONES SEM ATENDIMENTO"/>
    <n v="0"/>
    <x v="3"/>
    <s v="15.48"/>
    <s v="gleise"/>
    <s v="91 a 180"/>
    <s v="ACIONAMENTO"/>
    <x v="0"/>
  </r>
  <r>
    <s v="COGECOM"/>
    <n v="10012254604"/>
    <s v="ELIANE SOUZA FERREIRA"/>
    <s v="OUT"/>
    <s v="OUTROS"/>
    <n v="96125896153"/>
    <x v="0"/>
    <s v="481.81"/>
    <s v="142.75"/>
    <n v="146"/>
    <s v="SEM INTERESSE"/>
    <s v="NEGOCIAÇÃO VIA WHATSAPP"/>
    <n v="0"/>
    <x v="3"/>
    <s v="13.20"/>
    <s v="l.quadros"/>
    <s v="91 a 180"/>
    <s v="CPC"/>
    <x v="1"/>
  </r>
  <r>
    <s v="COGECOM"/>
    <n v="45201404"/>
    <s v="ZAQUEU BARBOSA DA FONSECA"/>
    <s v="OUT"/>
    <s v="OUTROS"/>
    <n v="49870858953"/>
    <x v="0"/>
    <s v="161.25"/>
    <s v="137.57"/>
    <n v="127"/>
    <s v="NÃO LOCALIZADO"/>
    <s v="TELEFONES SEM ATENDIMENTO"/>
    <n v="0"/>
    <x v="3"/>
    <s v="14.15"/>
    <s v="gleise"/>
    <s v="91 a 180"/>
    <s v="ACIONAMENTO"/>
    <x v="0"/>
  </r>
  <r>
    <s v="COGECOM"/>
    <n v="10011866150"/>
    <s v="ELIANE DE ALMEIDA PEREIRA"/>
    <s v="OUT"/>
    <s v="OUTROS"/>
    <n v="3905911140"/>
    <x v="0"/>
    <s v="446.32"/>
    <s v="118.01"/>
    <n v="146"/>
    <s v="NÃO LOCALIZADO"/>
    <s v="TELEFONES SEM ATENDIMENTO"/>
    <n v="0"/>
    <x v="3"/>
    <s v="15.46"/>
    <s v="gleise"/>
    <s v="91 a 180"/>
    <s v="ACIONAMENTO"/>
    <x v="0"/>
  </r>
  <r>
    <s v="COGECOM"/>
    <n v="56888446"/>
    <s v="JHONATA RODRIGUES DA SILVA"/>
    <s v="OUT"/>
    <s v="OUTROS"/>
    <n v="2805291123"/>
    <x v="0"/>
    <s v="269.10"/>
    <s v="113.35"/>
    <n v="134"/>
    <s v="NÃO LOCALIZADO"/>
    <s v="TELEFONES SEM ATENDIMENTO"/>
    <n v="0"/>
    <x v="3"/>
    <s v="9.16"/>
    <s v="gleise"/>
    <s v="91 a 180"/>
    <s v="ACIONAMENTO"/>
    <x v="0"/>
  </r>
  <r>
    <s v="COGECOM"/>
    <n v="2680033158"/>
    <s v="LAURA GOMES DE OLIVEIRA"/>
    <s v="OUT"/>
    <s v="OUTROS"/>
    <n v="39338827100"/>
    <x v="0"/>
    <s v="165.37"/>
    <s v="112.35"/>
    <n v="137"/>
    <s v="NÃO LOCALIZADO"/>
    <s v="TELEFONES SEM ATENDIMENTO"/>
    <n v="0"/>
    <x v="3"/>
    <s v="10.46"/>
    <s v="gleise"/>
    <s v="91 a 180"/>
    <s v="ACIONAMENTO"/>
    <x v="0"/>
  </r>
  <r>
    <s v="COGECOM"/>
    <n v="11636294"/>
    <s v="NAYARA ALVES DE OLIVEIRA"/>
    <s v="OUT"/>
    <s v="OUTROS"/>
    <n v="2474615121"/>
    <x v="0"/>
    <s v="240.94"/>
    <s v="86.29"/>
    <n v="146"/>
    <s v="AG RESPOSTA 1º CONTATO"/>
    <s v="ENVIADO MSG/E-MAIL 1º CONTATO"/>
    <n v="0"/>
    <x v="3"/>
    <s v="14.26"/>
    <s v="l.quadros"/>
    <s v="91 a 180"/>
    <s v="ACIONAMENTO"/>
    <x v="4"/>
  </r>
  <r>
    <s v="COGECOM"/>
    <n v="1990042433"/>
    <s v="JOAO BATISTA EVANGELISTA DE LIMA"/>
    <s v="OUT"/>
    <s v="OUTROS"/>
    <n v="32025815115"/>
    <x v="0"/>
    <s v="194.67"/>
    <s v="74.39"/>
    <n v="146"/>
    <s v="NÃO LOCALIZADO"/>
    <s v="TELEFONES SEM ATENDIMENTO"/>
    <n v="0"/>
    <x v="3"/>
    <s v="15.49"/>
    <s v="gleise"/>
    <s v="91 a 180"/>
    <s v="ACIONAMENTO"/>
    <x v="0"/>
  </r>
  <r>
    <s v="COGECOM"/>
    <n v="97926892"/>
    <s v="OLENIR APARECIDA BIGUETI"/>
    <s v="OUT"/>
    <s v="OUTROS"/>
    <n v="55504981972"/>
    <x v="0"/>
    <s v="38.00"/>
    <s v="15.85"/>
    <n v="141"/>
    <s v="NÃO LOCALIZADO"/>
    <s v="TELEFONES SEM ATENDIMENTO"/>
    <n v="0"/>
    <x v="3"/>
    <s v="15.49"/>
    <s v="gleise"/>
    <s v="91 a 180"/>
    <s v="ACIONAMENTO"/>
    <x v="0"/>
  </r>
  <r>
    <s v="COGECOM"/>
    <n v="10005391570"/>
    <s v="WANDERSON PORTO LOPES"/>
    <s v="OUT"/>
    <s v="OUTROS"/>
    <n v="80317286153"/>
    <x v="0"/>
    <s v="91.86"/>
    <s v="38.27"/>
    <n v="101"/>
    <s v="SEM INTERESSE"/>
    <s v="NEGOCIAÇÃO VIA TELEFONE"/>
    <n v="0"/>
    <x v="3"/>
    <s v="17.06"/>
    <s v="gleise"/>
    <s v="91 a 180"/>
    <s v="CPC"/>
    <x v="1"/>
  </r>
  <r>
    <s v="COGECOM"/>
    <n v="3080834981"/>
    <s v="MARCELO DECIO BROILO"/>
    <s v="OUT"/>
    <s v="OUTROS"/>
    <n v="44029446000"/>
    <x v="0"/>
    <s v="327.25"/>
    <s v="327.25"/>
    <n v="90"/>
    <s v="SEM INTERESSE"/>
    <s v="NEGOCIAÇÃO VIA TELEFONE"/>
    <n v="0"/>
    <x v="3"/>
    <s v="15.51"/>
    <s v="gleise"/>
    <s v="61 a 90"/>
    <s v="CPC"/>
    <x v="1"/>
  </r>
  <r>
    <s v="COGECOM"/>
    <n v="84673680"/>
    <s v="LEANDRO DE MELLO PEREIRA"/>
    <s v="OUT"/>
    <s v="OUTROS"/>
    <n v="92941133020"/>
    <x v="0"/>
    <s v="432.35"/>
    <s v="155.04"/>
    <n v="100"/>
    <m/>
    <s v="SOLICITAR EXTINÇÃO DA AÇÃO"/>
    <n v="9999"/>
    <x v="3"/>
    <s v="15.51"/>
    <s v="anakeppe"/>
    <s v="91 a 180"/>
    <s v="ACIONAMENTO"/>
    <x v="4"/>
  </r>
  <r>
    <s v="COGECOM"/>
    <n v="16166000"/>
    <s v="GILIANDRA WROBLEWSKI"/>
    <s v="OUT"/>
    <s v="OUTROS"/>
    <n v="9512552906"/>
    <x v="0"/>
    <s v="1284.70"/>
    <s v="441.12"/>
    <n v="98"/>
    <s v="NÃO LOCALIZADO"/>
    <s v="TELEFONES SEM ATENDIMENTO"/>
    <n v="0"/>
    <x v="3"/>
    <s v="11.09"/>
    <s v="gleise"/>
    <s v="91 a 180"/>
    <s v="ACIONAMENTO"/>
    <x v="0"/>
  </r>
  <r>
    <s v="COGECOM"/>
    <n v="92302610"/>
    <s v="OSNEDIR DA  SILVA GUIMARÃES"/>
    <s v="OUT"/>
    <s v="OUTROS"/>
    <n v="55792260982"/>
    <x v="1"/>
    <s v="0.00"/>
    <s v="939.10"/>
    <n v="283"/>
    <s v="SEM INTERESSE"/>
    <s v="ALTERACAO DEBITO"/>
    <n v="7"/>
    <x v="3"/>
    <s v="12.43"/>
    <s v="p.quadros"/>
    <s v="181 a 360"/>
    <s v="ACIONAMENTO"/>
    <x v="1"/>
  </r>
  <r>
    <s v="COGECOM"/>
    <n v="76960714"/>
    <s v="PANIFICADORA VÓ FATIMA LTDA"/>
    <s v="OUT"/>
    <s v="OUTROS"/>
    <n v="26226948000153"/>
    <x v="0"/>
    <s v="3838.57"/>
    <s v="3838.57"/>
    <n v="172"/>
    <s v="NÃO LOCALIZADO"/>
    <s v="TELEFONES SEM ATENDIMENTO"/>
    <n v="0"/>
    <x v="3"/>
    <s v="9.38"/>
    <s v="gleise"/>
    <s v="91 a 180"/>
    <s v="ACIONAMENTO"/>
    <x v="0"/>
  </r>
  <r>
    <s v="COGECOM"/>
    <n v="70491640"/>
    <s v="CELSON LUIZ GROSSL"/>
    <s v="OUT"/>
    <s v="OUTROS"/>
    <n v="3599697981"/>
    <x v="0"/>
    <s v="678.92"/>
    <s v="500.20"/>
    <n v="144"/>
    <s v="SEM CONDIÇÕES"/>
    <s v="NEGOCIAÇÃO VIA TELEFONE"/>
    <n v="0"/>
    <x v="3"/>
    <s v="16.04"/>
    <s v="gleise"/>
    <s v="91 a 180"/>
    <s v="CPC"/>
    <x v="3"/>
  </r>
  <r>
    <s v="COGECOM"/>
    <n v="46850335"/>
    <s v="ALTO DA SERRA PASTELARIA E CHOPERIA"/>
    <s v="OUT"/>
    <s v="OUTROS"/>
    <n v="28985669000107"/>
    <x v="0"/>
    <s v="952.20"/>
    <s v="952.20"/>
    <n v="160"/>
    <s v="AG RESPOSTA 1º CONTATO"/>
    <s v="ENVIADO MSG/E-MAIL 1º CONTATO"/>
    <n v="0"/>
    <x v="3"/>
    <s v="16.01"/>
    <s v="l.quadros"/>
    <s v="91 a 180"/>
    <s v="ACIONAMENTO"/>
    <x v="4"/>
  </r>
  <r>
    <s v="COGECOM"/>
    <n v="8863300"/>
    <s v="COREPOX COMERCIO E SERVICOS DE PINTURA EIRE"/>
    <s v="OUT"/>
    <s v="OUTROS"/>
    <n v="25110585000123"/>
    <x v="0"/>
    <s v="10292.85"/>
    <s v="3480.04"/>
    <n v="148"/>
    <s v="AG RESPOSTA 1º CONTATO"/>
    <s v="ENVIADO MSG/E-MAIL 1º CONTATO"/>
    <n v="0"/>
    <x v="3"/>
    <s v="10.47"/>
    <s v="l.quadros"/>
    <s v="91 a 180"/>
    <s v="ACIONAMENTO"/>
    <x v="4"/>
  </r>
  <r>
    <s v="COGECOM"/>
    <n v="42552135"/>
    <s v="JARDEL JOSE MUELLER BOGO"/>
    <s v="OUT"/>
    <s v="OUTROS"/>
    <n v="3885112906"/>
    <x v="0"/>
    <s v="1192.14"/>
    <s v="673.78"/>
    <n v="145"/>
    <s v="SEM INTERESSE"/>
    <s v="NEGOCIAÇÃO VIA TELEFONE"/>
    <n v="0"/>
    <x v="3"/>
    <s v="10.36"/>
    <s v="anakeppe"/>
    <s v="91 a 180"/>
    <s v="CPC"/>
    <x v="1"/>
  </r>
  <r>
    <s v="COGECOM"/>
    <n v="38885271"/>
    <s v="FERNANDA FRANCISCA DA SILVA"/>
    <s v="OUT"/>
    <s v="OUTROS"/>
    <n v="7564737999"/>
    <x v="0"/>
    <s v="4490.67"/>
    <s v="2395.19"/>
    <n v="121"/>
    <s v="SEM INTERESSE"/>
    <s v="NEGOCIAÇÃO VIA TELEFONE"/>
    <n v="0"/>
    <x v="3"/>
    <s v="9.46"/>
    <s v="anakeppe"/>
    <s v="91 a 180"/>
    <s v="CPC"/>
    <x v="1"/>
  </r>
  <r>
    <s v="COGECOM"/>
    <n v="20470169"/>
    <s v="MARINES APARECIDA ANACLETO"/>
    <s v="OUT"/>
    <s v="OUTROS"/>
    <n v="4279364893"/>
    <x v="0"/>
    <s v="596.18"/>
    <s v="322.18"/>
    <n v="130"/>
    <s v="SEM INTERESSE"/>
    <s v="NEGOCIAÇÃO VIA TELEFONE"/>
    <n v="0"/>
    <x v="3"/>
    <s v="9.21"/>
    <s v="anakeppe"/>
    <s v="91 a 180"/>
    <s v="CPC"/>
    <x v="1"/>
  </r>
  <r>
    <s v="COGECOM"/>
    <n v="3004641001"/>
    <s v="PAULO CHARLES DA SILVA"/>
    <s v="OUT"/>
    <s v="OUTROS"/>
    <n v="55985912604"/>
    <x v="0"/>
    <s v="17.64"/>
    <s v="17.64"/>
    <n v="124"/>
    <s v="AG RESPOSTA 1º CONTATO"/>
    <s v="ENVIADO MSG/E-MAIL 1º CONTATO"/>
    <n v="0"/>
    <x v="3"/>
    <s v="17.28"/>
    <s v="l.quadros"/>
    <s v="91 a 180"/>
    <s v="ACIONAMENTO"/>
    <x v="4"/>
  </r>
  <r>
    <s v="COGECOM"/>
    <n v="17784093"/>
    <s v="BENHUR VICENTE PARIZOTTO"/>
    <s v="OUT"/>
    <s v="OUTROS"/>
    <n v="80575475000145"/>
    <x v="0"/>
    <s v="9158.64"/>
    <s v="558.15"/>
    <n v="124"/>
    <s v="NÃO LOCALIZADO"/>
    <s v="TELEFONES SEM ATENDIMENTO"/>
    <n v="0"/>
    <x v="3"/>
    <s v="16.05"/>
    <s v="gleise"/>
    <s v="91 a 180"/>
    <s v="ACIONAMENTO"/>
    <x v="0"/>
  </r>
  <r>
    <s v="COGECOM"/>
    <n v="107499843"/>
    <s v="EMERSON APARECIDO"/>
    <s v="OUT"/>
    <s v="OUTROS"/>
    <n v="1946065978"/>
    <x v="0"/>
    <s v="176.45"/>
    <s v="176.45"/>
    <n v="92"/>
    <s v="SEM INTERESSE"/>
    <s v="NEGOCIAÇÃO VIA TELEFONE"/>
    <n v="0"/>
    <x v="3"/>
    <s v="9.48"/>
    <s v="anakeppe"/>
    <s v="91 a 180"/>
    <s v="CPC"/>
    <x v="1"/>
  </r>
  <r>
    <s v="COGECOM"/>
    <n v="29974402"/>
    <s v="RENATA CRISTINA DE LIMA"/>
    <s v="OUT"/>
    <s v="OUTROS"/>
    <n v="21308479867"/>
    <x v="0"/>
    <s v="1268.85"/>
    <s v="1268.85"/>
    <n v="84"/>
    <s v="SEM INTERESSE"/>
    <s v="NEGOCIAÇÃO VIA TELEFONE"/>
    <n v="0"/>
    <x v="3"/>
    <s v="9.30"/>
    <s v="anakeppe"/>
    <s v="61 a 90"/>
    <s v="CPC"/>
    <x v="1"/>
  </r>
  <r>
    <s v="COGECOM"/>
    <n v="20799985"/>
    <s v="VALADARES E MERLO ALIMENTAÇÃO E CONVENIÊ LTDA"/>
    <s v="OUT"/>
    <s v="OUTROS"/>
    <n v="51711090000160"/>
    <x v="0"/>
    <s v="5520.00"/>
    <s v="5520.00"/>
    <n v="84"/>
    <s v="SEM INTERESSE"/>
    <s v="NEGOCIAÇÃO VIA TELEFONE"/>
    <n v="0"/>
    <x v="3"/>
    <s v="10.33"/>
    <s v="anakeppe"/>
    <s v="61 a 90"/>
    <s v="CPC"/>
    <x v="1"/>
  </r>
  <r>
    <s v="COGECOM"/>
    <n v="10082587"/>
    <s v="ALI GASTRONOMIA E EVENTOS EIRELI"/>
    <s v="OUT"/>
    <s v="OUTROS"/>
    <n v="13944944000169"/>
    <x v="0"/>
    <s v="580.12"/>
    <s v="419.65"/>
    <n v="74"/>
    <s v="NÃO LOCALIZADO"/>
    <s v="TELEFONES SEM ATENDIMENTO"/>
    <n v="0"/>
    <x v="3"/>
    <s v="16.07"/>
    <s v="gleise"/>
    <s v="61 a 90"/>
    <s v="ACIONAMENTO"/>
    <x v="0"/>
  </r>
  <r>
    <s v="COGECOM"/>
    <n v="9737979"/>
    <s v="ANDREOLLI E DALLE LASTE LTDA"/>
    <s v="OUT"/>
    <s v="OUTROS"/>
    <n v="413719000154"/>
    <x v="1"/>
    <s v="0.00"/>
    <s v="3071.51"/>
    <n v="82"/>
    <s v="ACORDO VIGENTE COLCHÃO EM DIA"/>
    <s v="ESTORNO"/>
    <n v="20"/>
    <x v="3"/>
    <s v="11.06"/>
    <s v="luciano"/>
    <s v="61 a 90"/>
    <s v="ACIONAMENTO"/>
    <x v="2"/>
  </r>
  <r>
    <s v="COGECOM"/>
    <n v="10122139"/>
    <s v="CHARLES DE MELO"/>
    <s v="OUT"/>
    <s v="OUTROS"/>
    <n v="340470933"/>
    <x v="0"/>
    <s v="109.49"/>
    <s v="102.02"/>
    <n v="73"/>
    <s v="NÃO LOCALIZADO"/>
    <s v="TELEFONES SEM ATENDIMENTO"/>
    <n v="0"/>
    <x v="3"/>
    <s v="16.06"/>
    <s v="gleise"/>
    <s v="61 a 90"/>
    <s v="ACIONAMENTO"/>
    <x v="0"/>
  </r>
  <r>
    <s v="COGECOM"/>
    <n v="3085088136"/>
    <s v="ELI FURTADO DIAS"/>
    <s v="OUT"/>
    <s v="OUTROS"/>
    <n v="39421791053"/>
    <x v="0"/>
    <s v="271.51"/>
    <s v="180.34"/>
    <n v="74"/>
    <s v="NÃO LOCALIZADO"/>
    <s v="TELEFONES SEM ATENDIMENTO"/>
    <n v="0"/>
    <x v="3"/>
    <s v="16.08"/>
    <s v="gleise"/>
    <s v="61 a 90"/>
    <s v="ACIONAMENTO"/>
    <x v="0"/>
  </r>
  <r>
    <s v="COGECOM"/>
    <n v="28202229"/>
    <s v="ERONDINA DOS SANTOS"/>
    <s v="OUT"/>
    <s v="OUTROS"/>
    <n v="38373190910"/>
    <x v="0"/>
    <s v="554.72"/>
    <s v="299.22"/>
    <n v="71"/>
    <s v="NÃO LOCALIZADO"/>
    <s v="TELEFONES SEM ATENDIMENTO"/>
    <n v="0"/>
    <x v="3"/>
    <s v="16.08"/>
    <s v="gleise"/>
    <s v="61 a 90"/>
    <s v="ACIONAMENTO"/>
    <x v="0"/>
  </r>
  <r>
    <s v="COGECOM"/>
    <n v="3095350843"/>
    <s v="GIANNE FABIANE DOMINGUES RIBEIRO LEIRIA"/>
    <s v="OUT"/>
    <s v="OUTROS"/>
    <n v="70296570044"/>
    <x v="0"/>
    <s v="510.40"/>
    <s v="288.44"/>
    <n v="74"/>
    <s v="AG RESPOSTA 1º CONTATO"/>
    <s v="GERAÇÃO DE ACORDO"/>
    <n v="5"/>
    <x v="3"/>
    <s v="12.04"/>
    <s v="l.quadros"/>
    <s v="61 a 90"/>
    <s v="CPC"/>
    <x v="4"/>
  </r>
  <r>
    <s v="COGECOM"/>
    <n v="30998669"/>
    <s v="GISLAINE SILVANO MACHADO SAVI"/>
    <s v="OUT"/>
    <s v="OUTROS"/>
    <n v="484588990"/>
    <x v="0"/>
    <s v="177.58"/>
    <s v="88.79"/>
    <n v="74"/>
    <s v="NÃO LOCALIZADO"/>
    <s v="TELEFONES SEM ATENDIMENTO"/>
    <n v="0"/>
    <x v="3"/>
    <s v="16.09"/>
    <s v="gleise"/>
    <s v="61 a 90"/>
    <s v="ACIONAMENTO"/>
    <x v="0"/>
  </r>
  <r>
    <s v="COGECOM"/>
    <n v="99488116"/>
    <s v="HENRIQUE ABDO ABUJAMRA"/>
    <s v="OUT"/>
    <s v="OUTROS"/>
    <n v="36125738884"/>
    <x v="0"/>
    <s v="218.45"/>
    <s v="218.45"/>
    <n v="76"/>
    <s v="NÃO LOCALIZADO"/>
    <s v="TELEFONES SEM ATENDIMENTO"/>
    <n v="0"/>
    <x v="3"/>
    <s v="16.10"/>
    <s v="gleise"/>
    <s v="61 a 90"/>
    <s v="ACIONAMENTO"/>
    <x v="0"/>
  </r>
  <r>
    <s v="COGECOM"/>
    <n v="56590501"/>
    <s v="JAQUELINE MOURA DOS SANTOS"/>
    <s v="OUT"/>
    <s v="OUTROS"/>
    <n v="80997236000"/>
    <x v="0"/>
    <s v="367.81"/>
    <s v="210.65"/>
    <n v="74"/>
    <s v="NÃO LOCALIZADO"/>
    <s v="TELEFONES SEM ATENDIMENTO"/>
    <n v="0"/>
    <x v="3"/>
    <s v="16.11"/>
    <s v="gleise"/>
    <s v="61 a 90"/>
    <s v="ACIONAMENTO"/>
    <x v="0"/>
  </r>
  <r>
    <s v="COGECOM"/>
    <n v="105028878"/>
    <s v="LAFAYETE REIS CORREA"/>
    <s v="OUT"/>
    <s v="OUTROS"/>
    <n v="8203948901"/>
    <x v="0"/>
    <s v="4061.57"/>
    <s v="2280.78"/>
    <n v="75"/>
    <s v="NÃO LOCALIZADO"/>
    <s v="TELEFONES SEM ATENDIMENTO"/>
    <n v="0"/>
    <x v="3"/>
    <s v="16.14"/>
    <s v="gleise"/>
    <s v="61 a 90"/>
    <s v="ACIONAMENTO"/>
    <x v="0"/>
  </r>
  <r>
    <s v="COGECOM"/>
    <n v="43351958"/>
    <s v="LIDIA CRISTINA ALMEIDA PICININ"/>
    <s v="OUT"/>
    <s v="OUTROS"/>
    <n v="3206654610"/>
    <x v="0"/>
    <s v="459.98"/>
    <s v="237.12"/>
    <n v="71"/>
    <s v="NÃO LOCALIZADO"/>
    <s v="TELEFONES SEM ATENDIMENTO"/>
    <n v="0"/>
    <x v="3"/>
    <s v="16.13"/>
    <s v="gleise"/>
    <s v="61 a 90"/>
    <s v="ACIONAMENTO"/>
    <x v="0"/>
  </r>
  <r>
    <s v="COGECOM"/>
    <n v="51373227"/>
    <s v="MICHELLE KATE RAMTHUN BONETTE"/>
    <s v="OUT"/>
    <s v="OUTROS"/>
    <n v="3662793946"/>
    <x v="0"/>
    <s v="237.16"/>
    <s v="111.58"/>
    <n v="71"/>
    <s v="AG RESPOSTA 1º CONTATO"/>
    <s v="ENVIADO MSG/E-MAIL 1º CONTATO"/>
    <n v="0"/>
    <x v="3"/>
    <s v="10.04"/>
    <s v="l.quadros"/>
    <s v="61 a 90"/>
    <s v="ACIONAMENTO"/>
    <x v="4"/>
  </r>
  <r>
    <s v="COGECOM"/>
    <n v="3090920441"/>
    <s v="RODRIGO COLOMBO DA SILVA"/>
    <s v="OUT"/>
    <s v="OUTROS"/>
    <n v="80329713000"/>
    <x v="0"/>
    <s v="1280.07"/>
    <s v="626.94"/>
    <n v="77"/>
    <s v="AG RESPOSTA 1º CONTATO"/>
    <s v="ENVIADO MSG/E-MAIL 1º CONTATO"/>
    <n v="0"/>
    <x v="3"/>
    <s v="16.20"/>
    <s v="l.quadros"/>
    <s v="61 a 90"/>
    <s v="ACIONAMENTO"/>
    <x v="4"/>
  </r>
  <r>
    <s v="COGECOM"/>
    <n v="2380027232"/>
    <s v="ROMULO FREDERICO JUNQUEIRA"/>
    <s v="OUT"/>
    <s v="OUTROS"/>
    <n v="93288344149"/>
    <x v="0"/>
    <s v="138.79"/>
    <s v="66.09"/>
    <n v="70"/>
    <s v="NÃO LOCALIZADO"/>
    <s v="TELEFONES SEM ATENDIMENTO"/>
    <n v="0"/>
    <x v="3"/>
    <s v="16.15"/>
    <s v="gleise"/>
    <s v="61 a 90"/>
    <s v="ACIONAMENTO"/>
    <x v="0"/>
  </r>
  <r>
    <s v="COGECOM"/>
    <n v="76071669"/>
    <s v="SUELI TATARA DE SOUZA"/>
    <s v="OUT"/>
    <s v="OUTROS"/>
    <n v="555543935"/>
    <x v="0"/>
    <s v="84.29"/>
    <s v="122.24"/>
    <n v="76"/>
    <s v="NÃO LOCALIZADO"/>
    <s v="TELEFONES SEM ATENDIMENTO"/>
    <n v="0"/>
    <x v="3"/>
    <s v="16.15"/>
    <s v="gleise"/>
    <s v="61 a 90"/>
    <s v="ACIONAMENTO"/>
    <x v="0"/>
  </r>
  <r>
    <s v="COGECOM"/>
    <n v="51509803"/>
    <s v="THIAGO DE OLIVEIRA OUTEIRO OSORIO"/>
    <s v="OUT"/>
    <s v="OUTROS"/>
    <n v="804575924"/>
    <x v="0"/>
    <s v="111.29"/>
    <s v="111.29"/>
    <n v="71"/>
    <s v="NÃO LOCALIZADO"/>
    <s v="TELEFONES SEM ATENDIMENTO"/>
    <n v="0"/>
    <x v="3"/>
    <s v="16.16"/>
    <s v="gleise"/>
    <s v="61 a 90"/>
    <s v="ACIONAMENTO"/>
    <x v="0"/>
  </r>
  <r>
    <s v="COGECOM"/>
    <n v="74604562"/>
    <s v="VITOR VITORETTI DO COUTO"/>
    <s v="OUT"/>
    <s v="OUTROS"/>
    <n v="4620601950"/>
    <x v="0"/>
    <s v="110.61"/>
    <s v="89.12"/>
    <n v="76"/>
    <s v="NÃO LOCALIZADO"/>
    <s v="TELEFONES SEM ATENDIMENTO"/>
    <n v="0"/>
    <x v="3"/>
    <s v="16.17"/>
    <s v="gleise"/>
    <s v="61 a 90"/>
    <s v="ACIONAMENTO"/>
    <x v="0"/>
  </r>
  <r>
    <s v="COGECOM"/>
    <n v="69397970"/>
    <s v="CRISTINA HARUE TAKAMORI"/>
    <s v="OUT"/>
    <s v="OUTROS"/>
    <n v="50737422068"/>
    <x v="0"/>
    <s v="182.17"/>
    <s v="182.17"/>
    <n v="66"/>
    <s v="NÃO LOCALIZADO"/>
    <s v="TELEFONES SEM ATENDIMENTO"/>
    <n v="0"/>
    <x v="3"/>
    <s v="16.18"/>
    <s v="gleise"/>
    <s v="61 a 90"/>
    <s v="ACIONAMENTO"/>
    <x v="0"/>
  </r>
  <r>
    <s v="COGECOM"/>
    <n v="23285576"/>
    <s v="LOURDES APARECIDA EISEN"/>
    <s v="OUT"/>
    <s v="OUTROS"/>
    <n v="27839656900"/>
    <x v="0"/>
    <s v="237.12"/>
    <s v="237.12"/>
    <n v="67"/>
    <s v="NÃO LOCALIZADO"/>
    <s v="TELEFONES SEM ATENDIMENTO"/>
    <n v="0"/>
    <x v="3"/>
    <s v="16.18"/>
    <s v="gleise"/>
    <s v="61 a 90"/>
    <s v="ACIONAMENTO"/>
    <x v="0"/>
  </r>
  <r>
    <s v="COGECOM"/>
    <n v="55040028"/>
    <s v="LUCAS STAIDEL TOMASCZESKI"/>
    <s v="OUT"/>
    <s v="OUTROS"/>
    <n v="8196034903"/>
    <x v="0"/>
    <s v="57.90"/>
    <s v="57.90"/>
    <n v="67"/>
    <s v="NÃO LOCALIZADO"/>
    <s v="TELEFONES SEM ATENDIMENTO"/>
    <n v="0"/>
    <x v="3"/>
    <s v="16.19"/>
    <s v="gleise"/>
    <s v="61 a 90"/>
    <s v="ACIONAMENTO"/>
    <x v="0"/>
  </r>
  <r>
    <s v="COGECOM"/>
    <n v="43779435"/>
    <s v="RESTAURANTE RAIZES LTDA ME"/>
    <s v="OUT"/>
    <s v="OUTROS"/>
    <n v="10820670000108"/>
    <x v="0"/>
    <s v="431.23"/>
    <s v="431.23"/>
    <n v="67"/>
    <s v="NÃO LOCALIZADO"/>
    <s v="TELEFONES SEM ATENDIMENTO"/>
    <n v="0"/>
    <x v="3"/>
    <s v="16.20"/>
    <s v="gleise"/>
    <s v="61 a 90"/>
    <s v="ACIONAMENTO"/>
    <x v="0"/>
  </r>
  <r>
    <s v="COGECOM"/>
    <n v="10027017255"/>
    <s v="KAUE TOLENTINO PASSOS"/>
    <s v="OUT"/>
    <s v="OUTROS"/>
    <n v="71185690115"/>
    <x v="0"/>
    <s v="130.08"/>
    <s v="130.08"/>
    <n v="63"/>
    <s v="AG RESPOSTA 1º CONTATO"/>
    <s v="ENVIADO MSG/E-MAIL 1º CONTATO"/>
    <n v="0"/>
    <x v="3"/>
    <s v="16.31"/>
    <s v="l.quadros"/>
    <s v="61 a 90"/>
    <s v="ACIONAMENTO"/>
    <x v="4"/>
  </r>
  <r>
    <s v="COGECOM"/>
    <n v="10024004705"/>
    <s v="CLAYTON WILSON DE ARAUJO CORREA"/>
    <s v="OUT"/>
    <s v="OUTROS"/>
    <n v="80336507100"/>
    <x v="0"/>
    <s v="142.09"/>
    <s v="142.09"/>
    <n v="58"/>
    <s v="SEM INTERESSE"/>
    <s v="NEGOCIAÇÃO VIA TELEFONE"/>
    <n v="0"/>
    <x v="3"/>
    <s v="9.19"/>
    <s v="anakeppe"/>
    <s v="31 a 60"/>
    <s v="CPC"/>
    <x v="1"/>
  </r>
  <r>
    <s v="COGECOM"/>
    <n v="3003896765"/>
    <s v="MONICA LOPES MORAIS"/>
    <s v="OUT"/>
    <s v="OUTROS"/>
    <n v="7806061673"/>
    <x v="0"/>
    <s v="104.88"/>
    <s v="104.88"/>
    <n v="48"/>
    <s v="EM NEGOCIAÇÃO"/>
    <s v="NEGOCIAÇÃO VIA WHATSAPP"/>
    <n v="0"/>
    <x v="3"/>
    <s v="16.37"/>
    <s v="l.quadros"/>
    <s v="31 a 60"/>
    <s v="CPC"/>
    <x v="2"/>
  </r>
  <r>
    <s v="COGECOM"/>
    <n v="39897923"/>
    <s v="CLAYTON VIEIRA DE OLIVEIRA"/>
    <s v="OUT"/>
    <s v="OUTROS"/>
    <n v="35047387828"/>
    <x v="0"/>
    <s v="173.56"/>
    <s v="173.56"/>
    <n v="84"/>
    <s v="SEM INTERESSE"/>
    <s v="NEGOCIAÇÃO VIA TELEFONE"/>
    <n v="0"/>
    <x v="3"/>
    <s v="10.32"/>
    <s v="gleise"/>
    <s v="61 a 90"/>
    <s v="CPC"/>
    <x v="1"/>
  </r>
  <r>
    <s v="COGECOM"/>
    <n v="3000656171"/>
    <s v="EDINILSON DIVINO GUEDES"/>
    <s v="OUT"/>
    <s v="OUTROS"/>
    <n v="46468854687"/>
    <x v="0"/>
    <s v="171.64"/>
    <s v="171.64"/>
    <n v="48"/>
    <s v="AG RESPOSTA 1º CONTATO"/>
    <s v="ENVIADO MSG/E-MAIL 1º CONTATO"/>
    <n v="0"/>
    <x v="3"/>
    <s v="9.46"/>
    <s v="l.quadros"/>
    <s v="31 a 60"/>
    <s v="ACIONAMENTO"/>
    <x v="4"/>
  </r>
  <r>
    <s v="COGECOM"/>
    <n v="105914339"/>
    <s v="BRUNO SALVAT MOSCATO"/>
    <s v="OUT"/>
    <s v="OUTROS"/>
    <n v="7074086959"/>
    <x v="1"/>
    <s v="0.00"/>
    <s v="128.55"/>
    <n v="52"/>
    <m/>
    <s v="ALTERACAO DEBITO"/>
    <n v="9999"/>
    <x v="3"/>
    <s v="12.37"/>
    <s v="p.quadros"/>
    <s v="31 a 60"/>
    <s v="ACIONAMENTO"/>
    <x v="4"/>
  </r>
  <r>
    <s v="COGECOM"/>
    <n v="15434047"/>
    <s v="AGNALDO CERRANO DE SOUZA"/>
    <s v="OUT"/>
    <s v="OUTROS"/>
    <n v="1194737129"/>
    <x v="0"/>
    <s v="450.03"/>
    <s v="450.03"/>
    <n v="45"/>
    <s v="AG RESPOSTA 1º CONTATO"/>
    <s v="ENVIADO MSG/E-MAIL 1º CONTATO"/>
    <n v="0"/>
    <x v="3"/>
    <s v="13.31"/>
    <s v="l.quadros"/>
    <s v="31 a 60"/>
    <s v="ACIONAMENTO"/>
    <x v="4"/>
  </r>
  <r>
    <s v="COGECOM"/>
    <n v="3081862132"/>
    <s v="LEANDRO JOSE LOPPE"/>
    <s v="OUT"/>
    <s v="OUTROS"/>
    <n v="80475825004"/>
    <x v="0"/>
    <s v="155.25"/>
    <s v="155.25"/>
    <n v="39"/>
    <s v="NÃO LOCALIZADO"/>
    <s v="TELEFONES SEM ATENDIMENTO"/>
    <n v="0"/>
    <x v="3"/>
    <s v="16.32"/>
    <s v="gleise"/>
    <s v="31 a 60"/>
    <s v="ACIONAMENTO"/>
    <x v="0"/>
  </r>
  <r>
    <s v="COGECOM"/>
    <n v="52384800"/>
    <s v="MARCO ANTONIO RODRIGUES MARTINS"/>
    <s v="OUT"/>
    <s v="OUTROS"/>
    <n v="65358740015"/>
    <x v="0"/>
    <s v="61.68"/>
    <s v="61.68"/>
    <n v="39"/>
    <s v="SEM INTERESSE"/>
    <s v="NEGOCIAÇÃO VIA TELEFONE"/>
    <n v="0"/>
    <x v="3"/>
    <s v="11.48"/>
    <s v="anakeppe"/>
    <s v="31 a 60"/>
    <s v="CPC"/>
    <x v="1"/>
  </r>
  <r>
    <s v="COGECOM"/>
    <n v="52133289"/>
    <s v="FELIPE ALEXANDRE PEIXER"/>
    <s v="OUT"/>
    <s v="OUTROS"/>
    <n v="8537756997"/>
    <x v="0"/>
    <s v="123.38"/>
    <s v="123.38"/>
    <n v="39"/>
    <s v="NÃO LOCALIZADO"/>
    <s v="TELEFONES SEM ATENDIMENTO"/>
    <n v="0"/>
    <x v="3"/>
    <s v="16.31"/>
    <s v="gleise"/>
    <s v="31 a 60"/>
    <s v="ACIONAMENTO"/>
    <x v="0"/>
  </r>
  <r>
    <s v="COGECOM"/>
    <n v="89822757"/>
    <s v="TAMIRES POLLI POMPILHO"/>
    <s v="OUT"/>
    <s v="OUTROS"/>
    <n v="6712146917"/>
    <x v="0"/>
    <s v="196.37"/>
    <s v="196.37"/>
    <n v="39"/>
    <s v="NÃO LOCALIZADO"/>
    <s v="TELEFONES SEM ATENDIMENTO"/>
    <n v="0"/>
    <x v="3"/>
    <s v="16.33"/>
    <s v="gleise"/>
    <s v="31 a 60"/>
    <s v="ACIONAMENTO"/>
    <x v="0"/>
  </r>
  <r>
    <s v="COGECOM"/>
    <n v="3085335787"/>
    <s v="JANETE ANDRES WYPYSZYNSKI"/>
    <s v="OUT"/>
    <s v="OUTROS"/>
    <n v="44373945004"/>
    <x v="0"/>
    <s v="126.48"/>
    <s v="126.48"/>
    <n v="38"/>
    <s v="NÃO LOCALIZADO"/>
    <s v="TELEFONES SEM ATENDIMENTO"/>
    <n v="0"/>
    <x v="3"/>
    <s v="11.22"/>
    <s v="gleise"/>
    <s v="31 a 60"/>
    <s v="ACIONAMENTO"/>
    <x v="0"/>
  </r>
  <r>
    <s v="COGECOM"/>
    <n v="3095659038"/>
    <s v="SANTA RITA CAMINHOES E IMPLEMENTOS LTDA."/>
    <s v="OUT"/>
    <s v="OUTROS"/>
    <n v="43262295000187"/>
    <x v="0"/>
    <s v="29.44"/>
    <s v="29.44"/>
    <n v="38"/>
    <s v="SEM INTERESSE"/>
    <s v="NEGOCIAÇÃO VIA TELEFONE"/>
    <n v="0"/>
    <x v="3"/>
    <s v="16.39"/>
    <s v="gleise"/>
    <s v="31 a 60"/>
    <s v="CPC"/>
    <x v="1"/>
  </r>
  <r>
    <s v="COGECOM"/>
    <n v="3093210657"/>
    <s v="BRINK S SEGURANCA E TRANSPORTE DE VALORES LTDA"/>
    <s v="OUT"/>
    <s v="OUTROS"/>
    <n v="60860087011729"/>
    <x v="0"/>
    <s v="977.88"/>
    <s v="977.88"/>
    <n v="38"/>
    <s v="NÃO LOCALIZADO"/>
    <s v="TELEFONES SEM ATENDIMENTO"/>
    <n v="0"/>
    <x v="3"/>
    <s v="16.42"/>
    <s v="gleise"/>
    <s v="31 a 60"/>
    <s v="ACIONAMENTO"/>
    <x v="0"/>
  </r>
  <r>
    <s v="COGECOM"/>
    <n v="76704599"/>
    <s v="AURI DOMINGOS BOSSA"/>
    <s v="OUT"/>
    <s v="OUTROS"/>
    <n v="2468894979"/>
    <x v="0"/>
    <s v="1530.31"/>
    <s v="1530.31"/>
    <n v="1485"/>
    <s v="AG RESPOSTA 1º CONTATO"/>
    <s v="ENVIADO MSG/E-MAIL 1º CONTATO"/>
    <n v="3"/>
    <x v="4"/>
    <s v="10.45"/>
    <s v="l.quadros"/>
    <s v="Acima de 361"/>
    <s v="ACIONAMENTO"/>
    <x v="4"/>
  </r>
  <r>
    <s v="COGECOM"/>
    <n v="3005326007"/>
    <s v="ADEILTON GERALDO BARBOSA"/>
    <s v="OUT"/>
    <s v="OUTROS"/>
    <n v="94427291600"/>
    <x v="0"/>
    <s v="424.54"/>
    <s v="46.14"/>
    <n v="206"/>
    <s v="NÃO LOCALIZADO"/>
    <s v="TELEFONES SEM ATENDIMENTO"/>
    <n v="3"/>
    <x v="4"/>
    <s v="13.28"/>
    <s v="gleise"/>
    <s v="181 a 360"/>
    <s v="ACIONAMENTO"/>
    <x v="0"/>
  </r>
  <r>
    <s v="COGECOM"/>
    <n v="85380318"/>
    <s v="ADRIANE CRISTINA DO NASCIMENTO GONCALVES"/>
    <s v="OUT"/>
    <s v="OUTROS"/>
    <n v="4872693906"/>
    <x v="0"/>
    <s v="1480.48"/>
    <s v="62.75"/>
    <n v="705"/>
    <s v="NÃO LOCALIZADO"/>
    <s v="TELEFONES SEM ATENDIMENTO"/>
    <n v="3"/>
    <x v="4"/>
    <s v="16.10"/>
    <s v="gleise"/>
    <s v="Acima de 361"/>
    <s v="ACIONAMENTO"/>
    <x v="0"/>
  </r>
  <r>
    <s v="COGECOM"/>
    <n v="10002514638"/>
    <s v="ADRIANO DE MOURA E SILVA"/>
    <s v="OUT"/>
    <s v="OUTROS"/>
    <n v="49757091120"/>
    <x v="0"/>
    <s v="3102.52"/>
    <s v="209.75"/>
    <n v="336"/>
    <s v="NÃO LOCALIZADO"/>
    <s v="SOLICITAR EXTINÇÃO DA AÇÃO"/>
    <n v="13"/>
    <x v="4"/>
    <s v="13.42"/>
    <s v="anakeppe"/>
    <s v="181 a 360"/>
    <s v="ACIONAMENTO"/>
    <x v="0"/>
  </r>
  <r>
    <s v="COGECOM"/>
    <n v="3005811003"/>
    <s v="AILTON BERNARDES DA ROCHA"/>
    <s v="OUT"/>
    <s v="OUTROS"/>
    <n v="27686760634"/>
    <x v="0"/>
    <s v="280.46"/>
    <s v="161.88"/>
    <n v="343"/>
    <s v="SEM CONDIÇÕES"/>
    <s v="NEGOCIAÇÃO VIA TELEFONE"/>
    <n v="3"/>
    <x v="4"/>
    <s v="14.19"/>
    <s v="gleise"/>
    <s v="181 a 360"/>
    <s v="CPC"/>
    <x v="3"/>
  </r>
  <r>
    <s v="COGECOM"/>
    <n v="3012494872"/>
    <s v="ALAN DE LIMA ROCHA"/>
    <s v="OUT"/>
    <s v="OUTROS"/>
    <n v="5463195641"/>
    <x v="0"/>
    <s v="333.78"/>
    <s v="175.29"/>
    <n v="326"/>
    <s v="NÃO LOCALIZADO"/>
    <s v="SOLICITAR EXTINÇÃO DA AÇÃO"/>
    <n v="7"/>
    <x v="4"/>
    <s v="15.32"/>
    <s v="anakeppe"/>
    <s v="181 a 360"/>
    <s v="ACIONAMENTO"/>
    <x v="0"/>
  </r>
  <r>
    <s v="COGECOM"/>
    <n v="10035877829"/>
    <s v="ALCIDES NUNES ALVES JUNIOR"/>
    <s v="OUT"/>
    <s v="OUTROS"/>
    <n v="6013179638"/>
    <x v="0"/>
    <s v="770.72"/>
    <s v="135.51"/>
    <n v="298"/>
    <s v="NÃO LOCALIZADO"/>
    <s v="TELEFONES SEM ATENDIMENTO"/>
    <n v="3"/>
    <x v="4"/>
    <s v="14.33"/>
    <s v="gleise"/>
    <s v="181 a 360"/>
    <s v="ACIONAMENTO"/>
    <x v="0"/>
  </r>
  <r>
    <s v="COGECOM"/>
    <n v="14674208"/>
    <s v="ALENCAR SANTOS DE SANTANA"/>
    <s v="OUT"/>
    <s v="OUTROS"/>
    <n v="85469319504"/>
    <x v="0"/>
    <s v="4492.00"/>
    <s v="456.62"/>
    <n v="281"/>
    <s v="NÃO LOCALIZADO"/>
    <s v="TELEFONES SEM ATENDIMENTO"/>
    <n v="3"/>
    <x v="4"/>
    <s v="17.02"/>
    <s v="gleise"/>
    <s v="181 a 360"/>
    <s v="ACIONAMENTO"/>
    <x v="0"/>
  </r>
  <r>
    <s v="COGECOM"/>
    <n v="3014264823"/>
    <s v="ALEXANDRE LUIZ LOPES"/>
    <s v="OUT"/>
    <s v="OUTROS"/>
    <n v="92277721620"/>
    <x v="0"/>
    <s v="593.49"/>
    <s v="178.96"/>
    <n v="447"/>
    <s v="NÃO LOCALIZADO"/>
    <s v="TELEFONES SEM ATENDIMENTO"/>
    <n v="3"/>
    <x v="4"/>
    <s v="13.28"/>
    <s v="gleise"/>
    <s v="Acima de 361"/>
    <s v="ACIONAMENTO"/>
    <x v="0"/>
  </r>
  <r>
    <s v="COGECOM"/>
    <n v="4002571096"/>
    <s v="ALEXANDRE WILKENS"/>
    <s v="OUT"/>
    <s v="OUTROS"/>
    <n v="98733257000"/>
    <x v="0"/>
    <s v="598.48"/>
    <s v="337.66"/>
    <n v="171"/>
    <s v="NÃO LOCALIZADO"/>
    <s v="TELEFONES SEM ATENDIMENTO"/>
    <n v="3"/>
    <x v="4"/>
    <s v="13.45"/>
    <s v="gleise"/>
    <s v="91 a 180"/>
    <s v="ACIONAMENTO"/>
    <x v="0"/>
  </r>
  <r>
    <s v="COGECOM"/>
    <n v="67469337"/>
    <s v="ALISSON DA SILVA RODRIGUES"/>
    <s v="OUT"/>
    <s v="OUTROS"/>
    <n v="769171001"/>
    <x v="0"/>
    <s v="2125.78"/>
    <s v="411.00"/>
    <n v="370"/>
    <s v="SEM INTERESSE"/>
    <s v="SOLICITAR EXTINÇÃO DA AÇÃO"/>
    <n v="14"/>
    <x v="4"/>
    <s v="16.15"/>
    <s v="anakeppe"/>
    <s v="Acima de 361"/>
    <s v="ACIONAMENTO"/>
    <x v="1"/>
  </r>
  <r>
    <s v="COGECOM"/>
    <n v="10032848810"/>
    <s v="ANA PAULA NOGUEIRA XAVIER"/>
    <s v="OUT"/>
    <s v="OUTROS"/>
    <n v="557521106"/>
    <x v="0"/>
    <s v="455.10"/>
    <s v="73.25"/>
    <n v="224"/>
    <s v="NÃO LOCALIZADO"/>
    <s v="TELEFONES SEM ATENDIMENTO"/>
    <n v="3"/>
    <x v="4"/>
    <s v="13.35"/>
    <s v="gleise"/>
    <s v="181 a 360"/>
    <s v="ACIONAMENTO"/>
    <x v="0"/>
  </r>
  <r>
    <s v="COGECOM"/>
    <n v="3005382215"/>
    <s v="ANA PAULA VIANA"/>
    <s v="OUT"/>
    <s v="OUTROS"/>
    <n v="5236611695"/>
    <x v="0"/>
    <s v="690.34"/>
    <s v="308.39"/>
    <n v="534"/>
    <s v="NÃO LOCALIZADO"/>
    <s v="TELEFONES SEM ATENDIMENTO"/>
    <n v="3"/>
    <x v="4"/>
    <s v="14.59"/>
    <s v="gleise"/>
    <s v="Acima de 361"/>
    <s v="ACIONAMENTO"/>
    <x v="0"/>
  </r>
  <r>
    <s v="COGECOM"/>
    <n v="4002184354"/>
    <s v="ANDERSON DE MELO"/>
    <s v="OUT"/>
    <s v="OUTROS"/>
    <n v="5568469741"/>
    <x v="0"/>
    <s v="205.96"/>
    <s v="128.57"/>
    <n v="475"/>
    <s v="AG RESPOSTA 1º CONTATO"/>
    <s v="ENVIADO MSG/E-MAIL 1º CONTATO"/>
    <n v="3"/>
    <x v="4"/>
    <s v="11.56"/>
    <s v="l.quadros"/>
    <s v="Acima de 361"/>
    <s v="ACIONAMENTO"/>
    <x v="4"/>
  </r>
  <r>
    <s v="COGECOM"/>
    <n v="3014510077"/>
    <s v="ANDERSON LOPES FIALHO"/>
    <s v="OUT"/>
    <s v="OUTROS"/>
    <n v="24865994874"/>
    <x v="0"/>
    <s v="406.89"/>
    <s v="279.94"/>
    <n v="438"/>
    <s v="NÃO LOCALIZADO"/>
    <s v="TELEFONES SEM ATENDIMENTO"/>
    <n v="3"/>
    <x v="4"/>
    <s v="15.27"/>
    <s v="gleise"/>
    <s v="Acima de 361"/>
    <s v="ACIONAMENTO"/>
    <x v="0"/>
  </r>
  <r>
    <s v="COGECOM"/>
    <n v="3090549185"/>
    <s v="ANDRE ADEMIR FERRAZ DA SILVA"/>
    <s v="OUT"/>
    <s v="OUTROS"/>
    <n v="96547227049"/>
    <x v="0"/>
    <s v="1768.61"/>
    <s v="748.09"/>
    <n v="278"/>
    <s v="NÃO LOCALIZADO"/>
    <s v="TELEFONES SEM ATENDIMENTO"/>
    <n v="3"/>
    <x v="4"/>
    <s v="13.58"/>
    <s v="gleise"/>
    <s v="181 a 360"/>
    <s v="ACIONAMENTO"/>
    <x v="0"/>
  </r>
  <r>
    <s v="COGECOM"/>
    <n v="50669726"/>
    <s v="ANNA LEO SUPERMERCADO LTDA"/>
    <s v="OUT"/>
    <s v="OUTROS"/>
    <n v="21528975000167"/>
    <x v="0"/>
    <s v="3433.74"/>
    <s v="3433.74"/>
    <n v="893"/>
    <s v="AG RESPOSTA 1º CONTATO"/>
    <s v="ENVIADO MSG/E-MAIL 1º CONTATO"/>
    <n v="3"/>
    <x v="4"/>
    <s v="9.24"/>
    <s v="l.quadros"/>
    <s v="Acima de 361"/>
    <s v="ACIONAMENTO"/>
    <x v="4"/>
  </r>
  <r>
    <s v="COGECOM"/>
    <n v="90026438"/>
    <s v="ARIOSTO AIRES MORAES"/>
    <s v="OUT"/>
    <s v="OUTROS"/>
    <n v="4502170941"/>
    <x v="0"/>
    <s v="639.19"/>
    <s v="161.28"/>
    <n v="638"/>
    <s v="NÃO LOCALIZADO"/>
    <s v="TELEFONES SEM ATENDIMENTO"/>
    <n v="3"/>
    <x v="4"/>
    <s v="16.08"/>
    <s v="gleise"/>
    <s v="Acima de 361"/>
    <s v="ACIONAMENTO"/>
    <x v="0"/>
  </r>
  <r>
    <s v="COGECOM"/>
    <n v="100200052"/>
    <s v="BIANCA REGINA DE SOUZA"/>
    <s v="OUT"/>
    <s v="OUTROS"/>
    <n v="6626552902"/>
    <x v="0"/>
    <s v="419.53"/>
    <s v="142.99"/>
    <n v="199"/>
    <s v="NÃO LOCALIZADO"/>
    <s v="TELEFONES SEM ATENDIMENTO"/>
    <n v="3"/>
    <x v="4"/>
    <s v="16.05"/>
    <s v="gleise"/>
    <s v="181 a 360"/>
    <s v="ACIONAMENTO"/>
    <x v="0"/>
  </r>
  <r>
    <s v="COGECOM"/>
    <n v="78874394"/>
    <s v="BRYANN GUIMARAES MARTINS"/>
    <s v="OUT"/>
    <s v="OUTROS"/>
    <n v="8344899966"/>
    <x v="0"/>
    <s v="105.26"/>
    <s v="76.08"/>
    <n v="621"/>
    <s v="NÃO LOCALIZADO"/>
    <s v="TELEFONES SEM ATENDIMENTO"/>
    <n v="3"/>
    <x v="4"/>
    <s v="16.15"/>
    <s v="gleise"/>
    <s v="Acima de 361"/>
    <s v="ACIONAMENTO"/>
    <x v="0"/>
  </r>
  <r>
    <s v="COGECOM"/>
    <n v="26616106"/>
    <s v="CARLOS CESAR DOS SANTOS"/>
    <s v="OUT"/>
    <s v="OUTROS"/>
    <n v="2862962929"/>
    <x v="0"/>
    <s v="1420.04"/>
    <s v="158.23"/>
    <n v="557"/>
    <s v="NÃO LOCALIZADO"/>
    <s v="SOLICITAR EXTINÇÃO DA AÇÃO"/>
    <n v="12"/>
    <x v="4"/>
    <s v="13.30"/>
    <s v="anakeppe"/>
    <s v="Acima de 361"/>
    <s v="ACIONAMENTO"/>
    <x v="0"/>
  </r>
  <r>
    <s v="COGECOM"/>
    <n v="3003883239"/>
    <s v="CELIO WILSON BARBOSA"/>
    <s v="OUT"/>
    <s v="OUTROS"/>
    <n v="21792373830"/>
    <x v="0"/>
    <s v="558.55"/>
    <s v="182.87"/>
    <n v="378"/>
    <s v="EM NEGOCIAÇÃO"/>
    <s v="NEGOCIAÇÃO VIA TELEFONE"/>
    <n v="3"/>
    <x v="4"/>
    <s v="15.44"/>
    <s v="anakeppe"/>
    <s v="Acima de 361"/>
    <s v="CPC"/>
    <x v="2"/>
  </r>
  <r>
    <s v="COGECOM"/>
    <n v="16228236"/>
    <s v="CELSO ANTONIO OLIVEIRA DE LIMA"/>
    <s v="OUT"/>
    <s v="OUTROS"/>
    <n v="40116859172"/>
    <x v="0"/>
    <s v="441.50"/>
    <s v="169.22"/>
    <n v="202"/>
    <s v="NÃO LOCALIZADO"/>
    <s v="TELEFONES SEM ATENDIMENTO"/>
    <n v="3"/>
    <x v="4"/>
    <s v="13.32"/>
    <s v="gleise"/>
    <s v="181 a 360"/>
    <s v="ACIONAMENTO"/>
    <x v="0"/>
  </r>
  <r>
    <s v="COGECOM"/>
    <n v="51025725"/>
    <s v="CIRLENE CABRAL DE OLIVEIRA"/>
    <s v="OUT"/>
    <s v="OUTROS"/>
    <n v="97505161253"/>
    <x v="0"/>
    <s v="451.86"/>
    <s v="186.43"/>
    <n v="508"/>
    <s v="AG RESPOSTA 1º CONTATO"/>
    <s v="ENVIADO MSG/E-MAIL 1º CONTATO"/>
    <n v="3"/>
    <x v="4"/>
    <s v="14.47"/>
    <s v="l.quadros"/>
    <s v="Acima de 361"/>
    <s v="ACIONAMENTO"/>
    <x v="4"/>
  </r>
  <r>
    <s v="COGECOM"/>
    <n v="3005386587"/>
    <s v="CLAUDIA CRISTINA MARQUES ANTONIO"/>
    <s v="OUT"/>
    <s v="OUTROS"/>
    <n v="64902137615"/>
    <x v="0"/>
    <s v="294.11"/>
    <s v="152.00"/>
    <n v="344"/>
    <s v="SEM INTERESSE"/>
    <s v="SOLICITAR EXTINÇÃO DA AÇÃO"/>
    <n v="3"/>
    <x v="4"/>
    <s v="15.40"/>
    <s v="anakeppe"/>
    <s v="181 a 360"/>
    <s v="ACIONAMENTO"/>
    <x v="1"/>
  </r>
  <r>
    <s v="COGECOM"/>
    <n v="48367119"/>
    <s v="CLEBER IVAN DOS SANTOS"/>
    <s v="OUT"/>
    <s v="OUTROS"/>
    <n v="2699018929"/>
    <x v="1"/>
    <s v="0.00"/>
    <s v="139.64"/>
    <n v="278"/>
    <s v="NÃO LOCALIZADO"/>
    <s v="TELEFONES SEM ATENDIMENTO"/>
    <n v="3"/>
    <x v="4"/>
    <s v="14.53"/>
    <s v="gleise"/>
    <s v="181 a 360"/>
    <s v="ACIONAMENTO"/>
    <x v="0"/>
  </r>
  <r>
    <s v="COGECOM"/>
    <n v="10014233361"/>
    <s v="CLINSMAN WILKE DE VASCONCELOS"/>
    <s v="OUT"/>
    <s v="OUTROS"/>
    <n v="4296739140"/>
    <x v="0"/>
    <s v="364.05"/>
    <s v="51.19"/>
    <n v="355"/>
    <s v="SEM INTERESSE"/>
    <s v="NEGOCIAÇÃO VIA TELEFONE"/>
    <n v="3"/>
    <x v="4"/>
    <s v="11.53"/>
    <s v="gleise"/>
    <s v="181 a 360"/>
    <s v="CPC"/>
    <x v="1"/>
  </r>
  <r>
    <s v="COGECOM"/>
    <n v="4002639855"/>
    <s v="CRISTIANE DE MOURA SILVA"/>
    <s v="OUT"/>
    <s v="OUTROS"/>
    <n v="333428064"/>
    <x v="0"/>
    <s v="923.71"/>
    <s v="548.60"/>
    <n v="329"/>
    <s v="NÃO LOCALIZADO"/>
    <s v="TELEFONES SEM ATENDIMENTO"/>
    <n v="3"/>
    <x v="4"/>
    <s v="13.46"/>
    <s v="gleise"/>
    <s v="181 a 360"/>
    <s v="ACIONAMENTO"/>
    <x v="0"/>
  </r>
  <r>
    <s v="COGECOM"/>
    <n v="3013089899"/>
    <s v="CRISTIANO CARDOSO DE SOUZA"/>
    <s v="OUT"/>
    <s v="OUTROS"/>
    <n v="5717715641"/>
    <x v="0"/>
    <s v="322.19"/>
    <s v="54.96"/>
    <n v="201"/>
    <m/>
    <s v="SOLICITAR EXTINÇÃO DA AÇÃO"/>
    <n v="9999"/>
    <x v="4"/>
    <s v="15.31"/>
    <s v="anakeppe"/>
    <s v="181 a 360"/>
    <s v="ACIONAMENTO"/>
    <x v="4"/>
  </r>
  <r>
    <s v="COGECOM"/>
    <n v="3001909764"/>
    <s v="DHENY DANIELLY SOARES DA SILVA"/>
    <s v="OUT"/>
    <s v="OUTROS"/>
    <n v="8848485669"/>
    <x v="0"/>
    <s v="265.35"/>
    <s v="265.35"/>
    <n v="203"/>
    <s v="NÃO LOCALIZADO"/>
    <s v="TELEFONES SEM ATENDIMENTO"/>
    <n v="3"/>
    <x v="4"/>
    <s v="15.14"/>
    <s v="gleise"/>
    <s v="181 a 360"/>
    <s v="ACIONAMENTO"/>
    <x v="0"/>
  </r>
  <r>
    <s v="COGECOM"/>
    <n v="3095455495"/>
    <s v="DIEGO ARTHUR FRANZEN"/>
    <s v="OUT"/>
    <s v="OUTROS"/>
    <n v="91374235091"/>
    <x v="0"/>
    <s v="2469.29"/>
    <s v="33.45"/>
    <n v="273"/>
    <s v="NÃO LOCALIZADO"/>
    <s v="TELEFONES SEM ATENDIMENTO"/>
    <n v="3"/>
    <x v="4"/>
    <s v="13.50"/>
    <s v="gleise"/>
    <s v="181 a 360"/>
    <s v="ACIONAMENTO"/>
    <x v="0"/>
  </r>
  <r>
    <s v="COGECOM"/>
    <n v="3091120287"/>
    <s v="DIONATAN NORONHA NASCENTE"/>
    <s v="OUT"/>
    <s v="OUTROS"/>
    <n v="509164080"/>
    <x v="0"/>
    <s v="698.22"/>
    <s v="698.22"/>
    <n v="278"/>
    <s v="NÃO LOCALIZADO"/>
    <s v="TELEFONES SEM ATENDIMENTO"/>
    <n v="3"/>
    <x v="4"/>
    <s v="16.57"/>
    <s v="gleise"/>
    <s v="181 a 360"/>
    <s v="ACIONAMENTO"/>
    <x v="0"/>
  </r>
  <r>
    <s v="COGECOM"/>
    <n v="46763130"/>
    <s v="DIOSE PIRES DOS SANTOS"/>
    <s v="OUT"/>
    <s v="OUTROS"/>
    <n v="5686155909"/>
    <x v="0"/>
    <s v="284.25"/>
    <s v="153.00"/>
    <n v="195"/>
    <s v="NÃO LOCALIZADO"/>
    <s v="TELEFONES SEM ATENDIMENTO"/>
    <n v="3"/>
    <x v="4"/>
    <s v="16.32"/>
    <s v="gleise"/>
    <s v="181 a 360"/>
    <s v="ACIONAMENTO"/>
    <x v="0"/>
  </r>
  <r>
    <s v="COGECOM"/>
    <n v="3090919761"/>
    <s v="DIRCEU MARTINS ASSIS"/>
    <s v="OUT"/>
    <s v="OUTROS"/>
    <n v="47527080000"/>
    <x v="0"/>
    <s v="1056.64"/>
    <s v="389.48"/>
    <n v="644"/>
    <s v="SEM INTERESSE"/>
    <s v="NEGOCIAÇÃO VIA TELEFONE"/>
    <n v="3"/>
    <x v="4"/>
    <s v="9.42"/>
    <s v="l.quadros"/>
    <s v="Acima de 361"/>
    <s v="CPC"/>
    <x v="1"/>
  </r>
  <r>
    <s v="COGECOM"/>
    <n v="14838254"/>
    <s v="DOUGLAS OLIVEIRA CARVALHO"/>
    <s v="OUT"/>
    <s v="OUTROS"/>
    <n v="5329860164"/>
    <x v="0"/>
    <s v="5290.68"/>
    <s v="866.73"/>
    <n v="193"/>
    <s v="NÃO LOCALIZADO"/>
    <s v="TELEFONES SEM ATENDIMENTO"/>
    <n v="3"/>
    <x v="4"/>
    <s v="14.46"/>
    <s v="gleise"/>
    <s v="181 a 360"/>
    <s v="ACIONAMENTO"/>
    <x v="0"/>
  </r>
  <r>
    <s v="COGECOM"/>
    <n v="46663010"/>
    <s v="EDI WILSON DAMACENO"/>
    <s v="OUT"/>
    <s v="OUTROS"/>
    <n v="87791960982"/>
    <x v="0"/>
    <s v="675.43"/>
    <s v="416.59"/>
    <n v="1173"/>
    <s v="NÃO LOCALIZADO"/>
    <s v="TELEFONES SEM ATENDIMENTO"/>
    <n v="3"/>
    <x v="4"/>
    <s v="16.31"/>
    <s v="gleise"/>
    <s v="Acima de 361"/>
    <s v="ACIONAMENTO"/>
    <x v="0"/>
  </r>
  <r>
    <s v="COGECOM"/>
    <n v="50225542"/>
    <s v="EDIMAR DE LIMA E CIA LTDA"/>
    <s v="OUT"/>
    <s v="OUTROS"/>
    <n v="31309810000158"/>
    <x v="0"/>
    <s v="882.60"/>
    <s v="375.31"/>
    <n v="395"/>
    <s v="NÃO LOCALIZADO"/>
    <s v="TELEFONES SEM ATENDIMENTO"/>
    <n v="3"/>
    <x v="4"/>
    <s v="16.28"/>
    <s v="gleise"/>
    <s v="Acima de 361"/>
    <s v="ACIONAMENTO"/>
    <x v="0"/>
  </r>
  <r>
    <s v="COGECOM"/>
    <n v="10036373573"/>
    <s v="EDUARDO RODRIGUES DOS SANTOS"/>
    <s v="OUT"/>
    <s v="OUTROS"/>
    <n v="671132148"/>
    <x v="0"/>
    <s v="374.75"/>
    <s v="34.12"/>
    <n v="253"/>
    <s v="NÃO LOCALIZADO"/>
    <s v="TELEFONES SEM ATENDIMENTO"/>
    <n v="3"/>
    <x v="4"/>
    <s v="13.26"/>
    <s v="gleise"/>
    <s v="181 a 360"/>
    <s v="ACIONAMENTO"/>
    <x v="0"/>
  </r>
  <r>
    <s v="COGECOM"/>
    <n v="10035507100"/>
    <s v="ELIESON CARNEIRO"/>
    <s v="OUT"/>
    <s v="OUTROS"/>
    <n v="3319646516"/>
    <x v="0"/>
    <s v="607.59"/>
    <s v="97.17"/>
    <n v="357"/>
    <s v="AG RESPOSTA 1º CONTATO"/>
    <s v="ENVIADO MSG/E-MAIL 1º CONTATO"/>
    <n v="3"/>
    <x v="4"/>
    <s v="13.43"/>
    <s v="l.quadros"/>
    <s v="181 a 360"/>
    <s v="ACIONAMENTO"/>
    <x v="4"/>
  </r>
  <r>
    <s v="COGECOM"/>
    <n v="100871275"/>
    <s v="ELIZANDRO DA SILVEIRA BARBOSA"/>
    <s v="OUT"/>
    <s v="OUTROS"/>
    <n v="445750685"/>
    <x v="0"/>
    <s v="400.17"/>
    <s v="136.03"/>
    <n v="270"/>
    <s v="NÃO LOCALIZADO"/>
    <s v="TELEFONES SEM ATENDIMENTO"/>
    <n v="3"/>
    <x v="4"/>
    <s v="16.02"/>
    <s v="gleise"/>
    <s v="181 a 360"/>
    <s v="ACIONAMENTO"/>
    <x v="0"/>
  </r>
  <r>
    <s v="COGECOM"/>
    <n v="106864548"/>
    <s v="ELIZANGELA SILVA CANDIDA TAVARES"/>
    <s v="OUT"/>
    <s v="OUTROS"/>
    <n v="2827347911"/>
    <x v="0"/>
    <s v="226.88"/>
    <s v="96.05"/>
    <n v="595"/>
    <s v="NÃO LOCALIZADO"/>
    <s v="TELEFONES SEM ATENDIMENTO"/>
    <n v="3"/>
    <x v="4"/>
    <s v="14.36"/>
    <s v="gleise"/>
    <s v="Acima de 361"/>
    <s v="ACIONAMENTO"/>
    <x v="0"/>
  </r>
  <r>
    <s v="COGECOM"/>
    <n v="3085553521"/>
    <s v="FABIO PICOLOTTO SANTOS"/>
    <s v="OUT"/>
    <s v="OUTROS"/>
    <n v="387725075"/>
    <x v="0"/>
    <s v="748.09"/>
    <s v="748.09"/>
    <n v="273"/>
    <s v="NÃO LOCALIZADO"/>
    <s v="TELEFONES SEM ATENDIMENTO"/>
    <n v="3"/>
    <x v="4"/>
    <s v="16.56"/>
    <s v="gleise"/>
    <s v="181 a 360"/>
    <s v="ACIONAMENTO"/>
    <x v="0"/>
  </r>
  <r>
    <s v="COGECOM"/>
    <n v="7925395"/>
    <s v="FERNANDO DE ANDRADE"/>
    <s v="OUT"/>
    <s v="OUTROS"/>
    <n v="3792718936"/>
    <x v="0"/>
    <s v="1094.77"/>
    <s v="518.85"/>
    <n v="282"/>
    <s v="SEM INTERESSE"/>
    <s v="ESTORNO"/>
    <n v="14"/>
    <x v="4"/>
    <s v="9.26"/>
    <s v="luciano"/>
    <s v="181 a 360"/>
    <s v="ACIONAMENTO"/>
    <x v="1"/>
  </r>
  <r>
    <s v="COGECOM"/>
    <n v="79302084"/>
    <s v="FRANCIELLE CRISTIANE PRESTES COSTA"/>
    <s v="OUT"/>
    <s v="OUTROS"/>
    <n v="7323957982"/>
    <x v="0"/>
    <s v="184.81"/>
    <s v="98.66"/>
    <n v="593"/>
    <s v="NÃO LOCALIZADO"/>
    <s v="TELEFONES SEM ATENDIMENTO"/>
    <n v="3"/>
    <x v="4"/>
    <s v="16.14"/>
    <s v="gleise"/>
    <s v="Acima de 361"/>
    <s v="ACIONAMENTO"/>
    <x v="0"/>
  </r>
  <r>
    <s v="COGECOM"/>
    <n v="104421908"/>
    <s v="GEORGE LUIZ LOWEN"/>
    <s v="OUT"/>
    <s v="OUTROS"/>
    <n v="3105796940"/>
    <x v="0"/>
    <s v="369.26"/>
    <s v="151.24"/>
    <n v="563"/>
    <m/>
    <s v="SOLICITAR EXTINÇÃO DA AÇÃO"/>
    <n v="9999"/>
    <x v="4"/>
    <s v="15.58"/>
    <s v="anakeppe"/>
    <s v="Acima de 361"/>
    <s v="ACIONAMENTO"/>
    <x v="4"/>
  </r>
  <r>
    <s v="COGECOM"/>
    <n v="22269275"/>
    <s v="GEOVANA ALZIRA RODRIGUES"/>
    <s v="OUT"/>
    <s v="OUTROS"/>
    <n v="2707786918"/>
    <x v="0"/>
    <s v="65.41"/>
    <s v="65.41"/>
    <n v="446"/>
    <s v="NÃO LOCALIZADO"/>
    <s v="TELEFONES SEM ATENDIMENTO"/>
    <n v="3"/>
    <x v="4"/>
    <s v="14.39"/>
    <s v="gleise"/>
    <s v="Acima de 361"/>
    <s v="ACIONAMENTO"/>
    <x v="0"/>
  </r>
  <r>
    <s v="COGECOM"/>
    <n v="89376056"/>
    <s v="GLEIDSON YURI DE LIMA FIGUEIRA"/>
    <s v="OUT"/>
    <s v="OUTROS"/>
    <n v="96197200"/>
    <x v="0"/>
    <s v="800.33"/>
    <s v="198.49"/>
    <n v="375"/>
    <s v="NÃO LOCALIZADO"/>
    <s v="TELEFONES SEM ATENDIMENTO"/>
    <n v="3"/>
    <x v="4"/>
    <s v="16.09"/>
    <s v="gleise"/>
    <s v="Acima de 361"/>
    <s v="ACIONAMENTO"/>
    <x v="0"/>
  </r>
  <r>
    <s v="COGECOM"/>
    <n v="3045161"/>
    <s v="GRA JU TURISMO HOTEL LTDA ME"/>
    <s v="OUT"/>
    <s v="OUTROS"/>
    <n v="31612788000110"/>
    <x v="0"/>
    <s v="1915.83"/>
    <s v="1469.07"/>
    <n v="1315"/>
    <s v="NÃO LOCALIZADO"/>
    <s v="TELEFONES SEM ATENDIMENTO"/>
    <n v="3"/>
    <x v="4"/>
    <s v="13.25"/>
    <s v="gleise"/>
    <s v="Acima de 361"/>
    <s v="ACIONAMENTO"/>
    <x v="0"/>
  </r>
  <r>
    <s v="COGECOM"/>
    <n v="110037065"/>
    <s v="GUILHERME COUTO PATERNOSTRO NETO"/>
    <s v="OUT"/>
    <s v="OUTROS"/>
    <n v="2218983524"/>
    <x v="0"/>
    <s v="511.39"/>
    <s v="230.13"/>
    <n v="410"/>
    <s v="AG RESPOSTA 1º CONTATO"/>
    <s v="ENVIADO MSG/E-MAIL 1º CONTATO"/>
    <n v="3"/>
    <x v="4"/>
    <s v="16.49"/>
    <s v="l.quadros"/>
    <s v="Acima de 361"/>
    <s v="ACIONAMENTO"/>
    <x v="4"/>
  </r>
  <r>
    <s v="COGECOM"/>
    <n v="10035636996"/>
    <s v="HIAGO CARDOSO SANTOS"/>
    <s v="OUT"/>
    <s v="OUTROS"/>
    <n v="5175432141"/>
    <x v="0"/>
    <s v="335.76"/>
    <s v="32.44"/>
    <n v="334"/>
    <s v="NÃO LOCALIZADO"/>
    <s v="TELEFONES SEM ATENDIMENTO"/>
    <n v="3"/>
    <x v="4"/>
    <s v="14.37"/>
    <s v="gleise"/>
    <s v="181 a 360"/>
    <s v="ACIONAMENTO"/>
    <x v="0"/>
  </r>
  <r>
    <s v="COGECOM"/>
    <n v="3014546512"/>
    <s v="HUDSON EUDES GABRIEL"/>
    <s v="OUT"/>
    <s v="OUTROS"/>
    <n v="6670605617"/>
    <x v="0"/>
    <s v="463.93"/>
    <s v="110.59"/>
    <n v="167"/>
    <s v="NÃO LOCALIZADO"/>
    <s v="TELEFONES SEM ATENDIMENTO"/>
    <n v="3"/>
    <x v="4"/>
    <s v="15.26"/>
    <s v="gleise"/>
    <s v="91 a 180"/>
    <s v="ACIONAMENTO"/>
    <x v="0"/>
  </r>
  <r>
    <s v="COGECOM"/>
    <n v="10025966810"/>
    <s v="IVO CORDEIRO FRANCO RIBEIRO"/>
    <s v="OUT"/>
    <s v="OUTROS"/>
    <n v="92440371149"/>
    <x v="0"/>
    <s v="58.82"/>
    <s v="81.31"/>
    <n v="201"/>
    <s v="NÃO LOCALIZADO"/>
    <s v="TELEFONES SEM ATENDIMENTO"/>
    <n v="3"/>
    <x v="4"/>
    <s v="16.47"/>
    <s v="gleise"/>
    <s v="181 a 360"/>
    <s v="ACIONAMENTO"/>
    <x v="0"/>
  </r>
  <r>
    <s v="COGECOM"/>
    <n v="27034225"/>
    <s v="IZEQUIAS NARCIZO DOS SANTOS DA  SILVA"/>
    <s v="OUT"/>
    <s v="OUTROS"/>
    <n v="9727472737"/>
    <x v="0"/>
    <s v="916.73"/>
    <s v="164.56"/>
    <n v="324"/>
    <s v="AG RESPOSTA 1º CONTATO"/>
    <s v="ENVIADO MSG/E-MAIL 1º CONTATO"/>
    <n v="3"/>
    <x v="4"/>
    <s v="11.54"/>
    <s v="l.quadros"/>
    <s v="181 a 360"/>
    <s v="ACIONAMENTO"/>
    <x v="4"/>
  </r>
  <r>
    <s v="COGECOM"/>
    <n v="54599315"/>
    <s v="JAIRO REIS"/>
    <s v="OUT"/>
    <s v="OUTROS"/>
    <n v="55153666034"/>
    <x v="0"/>
    <s v="362.09"/>
    <s v="86.33"/>
    <n v="216"/>
    <m/>
    <s v="SOLICITAR EXTINÇÃO DA AÇÃO"/>
    <n v="9999"/>
    <x v="4"/>
    <s v="16.22"/>
    <s v="anakeppe"/>
    <s v="181 a 360"/>
    <s v="ACIONAMENTO"/>
    <x v="4"/>
  </r>
  <r>
    <s v="COGECOM"/>
    <n v="10031065390"/>
    <s v="JAQUELINE LUIZ PIRES"/>
    <s v="OUT"/>
    <s v="OUTROS"/>
    <n v="3152068107"/>
    <x v="0"/>
    <s v="699.53"/>
    <s v="51.19"/>
    <n v="358"/>
    <s v="NÃO LOCALIZADO"/>
    <s v="TELEFONES SEM ATENDIMENTO"/>
    <n v="3"/>
    <x v="4"/>
    <s v="13.36"/>
    <s v="gleise"/>
    <s v="181 a 360"/>
    <s v="ACIONAMENTO"/>
    <x v="0"/>
  </r>
  <r>
    <s v="COGECOM"/>
    <n v="87872927"/>
    <s v="JC LAVANDERIA INDUSTRIAL EIRELI EPP"/>
    <s v="OUT"/>
    <s v="OUTROS"/>
    <n v="9323193000196"/>
    <x v="0"/>
    <s v="2648.31"/>
    <s v="1471.75"/>
    <n v="749"/>
    <s v="NÃO LOCALIZADO"/>
    <s v="TELEFONES SEM ATENDIMENTO"/>
    <n v="3"/>
    <x v="4"/>
    <s v="11.40"/>
    <s v="gleise"/>
    <s v="Acima de 361"/>
    <s v="ACIONAMENTO"/>
    <x v="0"/>
  </r>
  <r>
    <s v="COGECOM"/>
    <n v="10016966544"/>
    <s v="JEANE BASTOS DO PRADO DE PAULA"/>
    <s v="OUT"/>
    <s v="OUTROS"/>
    <n v="788011170"/>
    <x v="0"/>
    <s v="334.03"/>
    <s v="34.12"/>
    <n v="313"/>
    <s v="NÃO LOCALIZADO"/>
    <s v="TELEFONES SEM ATENDIMENTO"/>
    <n v="3"/>
    <x v="4"/>
    <s v="14.43"/>
    <s v="gleise"/>
    <s v="181 a 360"/>
    <s v="ACIONAMENTO"/>
    <x v="0"/>
  </r>
  <r>
    <s v="COGECOM"/>
    <n v="105891380"/>
    <s v="JULIANA LOPES DE ARAUJO"/>
    <s v="OUT"/>
    <s v="OUTROS"/>
    <n v="3504120908"/>
    <x v="0"/>
    <s v="0.00"/>
    <s v="377.62"/>
    <n v="241"/>
    <s v="EM NEGOCIAÇÃO"/>
    <s v="SOLICITAR EXTINÇÃO DA AÇÃO"/>
    <n v="48"/>
    <x v="4"/>
    <s v="15.57"/>
    <s v="anakeppe"/>
    <s v="181 a 360"/>
    <s v="ACIONAMENTO"/>
    <x v="2"/>
  </r>
  <r>
    <s v="COGECOM"/>
    <n v="10033008980"/>
    <s v="JUNIO ANDREY LEONEL GODOI"/>
    <s v="OUT"/>
    <s v="OUTROS"/>
    <n v="38742977134"/>
    <x v="0"/>
    <s v="777.63"/>
    <s v="382.00"/>
    <n v="388"/>
    <s v="AG RESPOSTA 1º CONTATO"/>
    <s v="ENVIADO MSG/E-MAIL 1º CONTATO"/>
    <n v="3"/>
    <x v="4"/>
    <s v="11.26"/>
    <s v="l.quadros"/>
    <s v="Acima de 361"/>
    <s v="ACIONAMENTO"/>
    <x v="4"/>
  </r>
  <r>
    <s v="COGECOM"/>
    <n v="89356535"/>
    <s v="JUVEVÊ ALIMENTOS LTDA"/>
    <s v="OUT"/>
    <s v="OUTROS"/>
    <n v="11173504000120"/>
    <x v="0"/>
    <s v="1438.47"/>
    <s v="1438.47"/>
    <n v="1443"/>
    <s v="NÃO LOCALIZADO"/>
    <s v="TELEFONES SEM ATENDIMENTO"/>
    <n v="3"/>
    <x v="4"/>
    <s v="10.56"/>
    <s v="gleise"/>
    <s v="Acima de 361"/>
    <s v="ACIONAMENTO"/>
    <x v="0"/>
  </r>
  <r>
    <s v="COGECOM"/>
    <n v="56271530"/>
    <s v="KIARA DE MORAES HECK"/>
    <s v="OUT"/>
    <s v="OUTROS"/>
    <n v="2949396950"/>
    <x v="0"/>
    <s v="854.47"/>
    <s v="712.35"/>
    <n v="297"/>
    <s v="NÃO LOCALIZADO"/>
    <s v="TELEFONES SEM ATENDIMENTO"/>
    <n v="3"/>
    <x v="4"/>
    <s v="14.48"/>
    <s v="gleise"/>
    <s v="181 a 360"/>
    <s v="ACIONAMENTO"/>
    <x v="0"/>
  </r>
  <r>
    <s v="COGECOM"/>
    <n v="80249566"/>
    <s v="L. A. BORTOLINI &amp; CIA LTDA"/>
    <s v="OUT"/>
    <s v="OUTROS"/>
    <n v="4859656000115"/>
    <x v="0"/>
    <s v="3205.41"/>
    <s v="1531.51"/>
    <n v="1158"/>
    <s v="EM NEGOCIAÇÃO"/>
    <s v="SOLICITAR EXTINÇÃO DA AÇÃO"/>
    <n v="9999"/>
    <x v="4"/>
    <s v="13.22"/>
    <s v="anakeppe"/>
    <s v="Acima de 361"/>
    <s v="ACIONAMENTO"/>
    <x v="2"/>
  </r>
  <r>
    <s v="COGECOM"/>
    <n v="4830139007"/>
    <s v="LEANDRO PEDROSA CEDRO"/>
    <s v="OUT"/>
    <s v="OUTROS"/>
    <n v="2393775161"/>
    <x v="0"/>
    <s v="610.43"/>
    <s v="63.17"/>
    <n v="216"/>
    <s v="NÃO LOCALIZADO"/>
    <s v="TELEFONES SEM ATENDIMENTO"/>
    <n v="3"/>
    <x v="4"/>
    <s v="13.44"/>
    <s v="gleise"/>
    <s v="181 a 360"/>
    <s v="ACIONAMENTO"/>
    <x v="0"/>
  </r>
  <r>
    <s v="COGECOM"/>
    <n v="10030135700"/>
    <s v="LEE PETTERSON DA SILVA ALMEIDA"/>
    <s v="OUT"/>
    <s v="OUTROS"/>
    <n v="59183306234"/>
    <x v="0"/>
    <s v="495.89"/>
    <s v="51.19"/>
    <n v="348"/>
    <s v="NÃO LOCALIZADO"/>
    <s v="TELEFONES SEM ATENDIMENTO"/>
    <n v="3"/>
    <x v="4"/>
    <s v="11.22"/>
    <s v="gleise"/>
    <s v="181 a 360"/>
    <s v="ACIONAMENTO"/>
    <x v="0"/>
  </r>
  <r>
    <s v="COGECOM"/>
    <n v="4002471221"/>
    <s v="LEONARDO PINTO ROSA"/>
    <s v="OUT"/>
    <s v="OUTROS"/>
    <n v="1620176009"/>
    <x v="0"/>
    <s v="877.05"/>
    <s v="190.04"/>
    <n v="218"/>
    <s v="AG RESPOSTA 1º CONTATO"/>
    <s v="ENVIADO MSG/E-MAIL 1º CONTATO"/>
    <n v="3"/>
    <x v="4"/>
    <s v="13.52"/>
    <s v="l.quadros"/>
    <s v="181 a 360"/>
    <s v="ACIONAMENTO"/>
    <x v="4"/>
  </r>
  <r>
    <s v="COGECOM"/>
    <n v="49883293"/>
    <s v="LUCILENE APARECIDA NUNES"/>
    <s v="OUT"/>
    <s v="OUTROS"/>
    <n v="2502458927"/>
    <x v="0"/>
    <s v="775.56"/>
    <s v="385.56"/>
    <n v="224"/>
    <s v="NÃO LOCALIZADO"/>
    <s v="TELEFONES SEM ATENDIMENTO"/>
    <n v="3"/>
    <x v="4"/>
    <s v="13.31"/>
    <s v="gleise"/>
    <s v="181 a 360"/>
    <s v="ACIONAMENTO"/>
    <x v="0"/>
  </r>
  <r>
    <s v="COGECOM"/>
    <n v="10037085881"/>
    <s v="LUDMILLA CRISTINA GOMES VIRGINIO"/>
    <s v="OUT"/>
    <s v="OUTROS"/>
    <n v="2345136162"/>
    <x v="0"/>
    <s v="431.80"/>
    <s v="48.55"/>
    <n v="319"/>
    <s v="NÃO LOCALIZADO"/>
    <s v="TELEFONES SEM ATENDIMENTO"/>
    <n v="3"/>
    <x v="4"/>
    <s v="13.33"/>
    <s v="gleise"/>
    <s v="181 a 360"/>
    <s v="ACIONAMENTO"/>
    <x v="0"/>
  </r>
  <r>
    <s v="COGECOM"/>
    <n v="86305760"/>
    <s v="LUIS FERNANDO DA CRUZ CEOLIS"/>
    <s v="OUT"/>
    <s v="OUTROS"/>
    <n v="6767752924"/>
    <x v="0"/>
    <s v="301.99"/>
    <s v="103.17"/>
    <n v="451"/>
    <s v="AG RESPOSTA 1º CONTATO"/>
    <s v="ENVIADO MSG/E-MAIL 1º CONTATO"/>
    <n v="3"/>
    <x v="4"/>
    <s v="16.18"/>
    <s v="l.quadros"/>
    <s v="Acima de 361"/>
    <s v="ACIONAMENTO"/>
    <x v="4"/>
  </r>
  <r>
    <s v="COGECOM"/>
    <n v="82880492"/>
    <s v="LUIZ ALBERTO VARGAS REBELLO VALENTE"/>
    <s v="OUT"/>
    <s v="OUTROS"/>
    <n v="37356437953"/>
    <x v="0"/>
    <s v="1153.10"/>
    <s v="291.33"/>
    <n v="452"/>
    <s v="NÃO LOCALIZADO"/>
    <s v="TELEFONES SEM ATENDIMENTO"/>
    <n v="3"/>
    <x v="4"/>
    <s v="16.13"/>
    <s v="gleise"/>
    <s v="Acima de 361"/>
    <s v="ACIONAMENTO"/>
    <x v="0"/>
  </r>
  <r>
    <s v="COGECOM"/>
    <n v="3090559471"/>
    <s v="MAIQUEL FABIANO MUELLER GARCIA"/>
    <s v="OUT"/>
    <s v="OUTROS"/>
    <n v="91178975053"/>
    <x v="0"/>
    <s v="231.43"/>
    <s v="231.43"/>
    <n v="359"/>
    <s v="NÃO LOCALIZADO"/>
    <s v="TELEFONES SEM ATENDIMENTO"/>
    <n v="3"/>
    <x v="4"/>
    <s v="11.26"/>
    <s v="gleise"/>
    <s v="181 a 360"/>
    <s v="ACIONAMENTO"/>
    <x v="0"/>
  </r>
  <r>
    <s v="COGECOM"/>
    <n v="3085711344"/>
    <s v="MARCELO ALEXANDRE DE OLIVEIRA"/>
    <s v="OUT"/>
    <s v="OUTROS"/>
    <n v="47717971020"/>
    <x v="0"/>
    <s v="667.31"/>
    <s v="112.75"/>
    <n v="198"/>
    <s v="NÃO LOCALIZADO"/>
    <s v="TELEFONES SEM ATENDIMENTO"/>
    <n v="3"/>
    <x v="4"/>
    <s v="16.38"/>
    <s v="gleise"/>
    <s v="181 a 360"/>
    <s v="ACIONAMENTO"/>
    <x v="0"/>
  </r>
  <r>
    <s v="COGECOM"/>
    <n v="3002270107"/>
    <s v="MARCELO JOSE DE OLIVEIRA"/>
    <s v="OUT"/>
    <s v="OUTROS"/>
    <n v="81425147615"/>
    <x v="0"/>
    <s v="544.99"/>
    <s v="292.15"/>
    <n v="250"/>
    <s v="NÃO LOCALIZADO"/>
    <s v="TELEFONES SEM ATENDIMENTO"/>
    <n v="3"/>
    <x v="4"/>
    <s v="17.05"/>
    <s v="gleise"/>
    <s v="181 a 360"/>
    <s v="ACIONAMENTO"/>
    <x v="0"/>
  </r>
  <r>
    <s v="COGECOM"/>
    <n v="24639711"/>
    <s v="MARCELO SANTOS OLIVEIRA"/>
    <s v="OUT"/>
    <s v="OUTROS"/>
    <n v="71582053049"/>
    <x v="0"/>
    <s v="506.19"/>
    <s v="85.64"/>
    <n v="446"/>
    <s v="AG RESPOSTA 1º CONTATO"/>
    <s v="ENVIADO MSG/E-MAIL 1º CONTATO"/>
    <n v="3"/>
    <x v="4"/>
    <s v="11.57"/>
    <s v="l.quadros"/>
    <s v="Acima de 361"/>
    <s v="ACIONAMENTO"/>
    <x v="4"/>
  </r>
  <r>
    <s v="COGECOM"/>
    <n v="3085482378"/>
    <s v="MARCELO ZAIKOWSKI MACHADO"/>
    <s v="OUT"/>
    <s v="OUTROS"/>
    <n v="252814029"/>
    <x v="0"/>
    <s v="1291.94"/>
    <s v="194.05"/>
    <n v="307"/>
    <s v="SEM INTERESSE"/>
    <s v="NEGOCIAÇÃO VIA TELEFONE"/>
    <n v="3"/>
    <x v="4"/>
    <s v="11.30"/>
    <s v="gleise"/>
    <s v="181 a 360"/>
    <s v="CPC"/>
    <x v="1"/>
  </r>
  <r>
    <s v="COGECOM"/>
    <n v="3095493377"/>
    <s v="MARCIO PIROLLI RUYZ"/>
    <s v="OUT"/>
    <s v="OUTROS"/>
    <n v="28359117829"/>
    <x v="0"/>
    <s v="662.50"/>
    <s v="662.50"/>
    <n v="320"/>
    <s v="SEM INTERESSE"/>
    <s v="NEGOCIAÇÃO VIA TELEFONE"/>
    <n v="3"/>
    <x v="4"/>
    <s v="14.51"/>
    <s v="gleise"/>
    <s v="181 a 360"/>
    <s v="CPC"/>
    <x v="1"/>
  </r>
  <r>
    <s v="COGECOM"/>
    <n v="21004560"/>
    <s v="MARIA APARECIDA DE CARVALHO"/>
    <s v="OUT"/>
    <s v="OUTROS"/>
    <n v="64880451134"/>
    <x v="0"/>
    <s v="167.19"/>
    <s v="34.12"/>
    <n v="229"/>
    <s v="AG RESPOSTA 1º CONTATO"/>
    <s v="ENVIADO MSG/E-MAIL 1º CONTATO"/>
    <n v="3"/>
    <x v="4"/>
    <s v="14.17"/>
    <s v="l.quadros"/>
    <s v="181 a 360"/>
    <s v="ACIONAMENTO"/>
    <x v="4"/>
  </r>
  <r>
    <s v="COGECOM"/>
    <n v="3013391526"/>
    <s v="MARIA APARECIDA ESTEVAO"/>
    <s v="OUT"/>
    <s v="OUTROS"/>
    <n v="51552086615"/>
    <x v="0"/>
    <s v="764.56"/>
    <s v="241.84"/>
    <n v="446"/>
    <s v="NÃO LOCALIZADO"/>
    <s v="SOLICITAR EXTINÇÃO DA AÇÃO"/>
    <n v="7"/>
    <x v="4"/>
    <s v="15.31"/>
    <s v="anakeppe"/>
    <s v="Acima de 361"/>
    <s v="ACIONAMENTO"/>
    <x v="0"/>
  </r>
  <r>
    <s v="COGECOM"/>
    <n v="10006504106"/>
    <s v="MARIA EDILANIA RODRIGUES DA ROCHA"/>
    <s v="OUT"/>
    <s v="OUTROS"/>
    <n v="92363989368"/>
    <x v="0"/>
    <s v="377.88"/>
    <s v="30.76"/>
    <n v="215"/>
    <s v="NÃO LOCALIZADO"/>
    <s v="TELEFONES SEM ATENDIMENTO"/>
    <n v="3"/>
    <x v="4"/>
    <s v="13.42"/>
    <s v="gleise"/>
    <s v="181 a 360"/>
    <s v="ACIONAMENTO"/>
    <x v="0"/>
  </r>
  <r>
    <s v="COGECOM"/>
    <n v="51987179"/>
    <s v="MARION WESTARB"/>
    <s v="OUT"/>
    <s v="OUTROS"/>
    <n v="886326958"/>
    <x v="0"/>
    <s v="65.41"/>
    <s v="65.41"/>
    <n v="438"/>
    <s v="AG RESPOSTA 1º CONTATO"/>
    <s v="ENVIADO MSG/E-MAIL 1º CONTATO"/>
    <n v="3"/>
    <x v="4"/>
    <s v="16.28"/>
    <s v="l.quadros"/>
    <s v="Acima de 361"/>
    <s v="ACIONAMENTO"/>
    <x v="4"/>
  </r>
  <r>
    <s v="COGECOM"/>
    <n v="10004200037"/>
    <s v="MAYARA FERREIRA SILVA"/>
    <s v="OUT"/>
    <s v="OUTROS"/>
    <n v="461605155"/>
    <x v="0"/>
    <s v="580.20"/>
    <s v="61.53"/>
    <n v="194"/>
    <s v="NÃO LOCALIZADO"/>
    <s v="TELEFONES SEM ATENDIMENTO"/>
    <n v="3"/>
    <x v="4"/>
    <s v="13.43"/>
    <s v="gleise"/>
    <s v="181 a 360"/>
    <s v="ACIONAMENTO"/>
    <x v="0"/>
  </r>
  <r>
    <s v="COGECOM"/>
    <n v="31637953"/>
    <s v="PAMELA CHRIS DA SILVA"/>
    <s v="OUT"/>
    <s v="OUTROS"/>
    <n v="7083305684"/>
    <x v="0"/>
    <s v="128.76"/>
    <s v="77.30"/>
    <n v="507"/>
    <s v="AG RESPOSTA 1º CONTATO"/>
    <s v="ENVIADO MSG/E-MAIL 1º CONTATO"/>
    <n v="3"/>
    <x v="4"/>
    <s v="10.22"/>
    <s v="l.quadros"/>
    <s v="Acima de 361"/>
    <s v="ACIONAMENTO"/>
    <x v="4"/>
  </r>
  <r>
    <s v="COGECOM"/>
    <n v="3095111837"/>
    <s v="PATRICIA FETT"/>
    <s v="OUT"/>
    <s v="OUTROS"/>
    <n v="1996755030"/>
    <x v="0"/>
    <s v="370.22"/>
    <s v="740.13"/>
    <n v="147"/>
    <s v="EM NEGOCIAÇÃO"/>
    <s v="NEGOCIAÇÃO VIA WHATSAPP"/>
    <n v="3"/>
    <x v="4"/>
    <s v="11.29"/>
    <s v="anakeppe"/>
    <s v="91 a 180"/>
    <s v="CPC"/>
    <x v="2"/>
  </r>
  <r>
    <s v="COGECOM"/>
    <n v="10035676220"/>
    <s v="PEDRO NETO DA COSTA ROCHA"/>
    <s v="OUT"/>
    <s v="OUTROS"/>
    <n v="1109769164"/>
    <x v="0"/>
    <s v="543.15"/>
    <s v="68.25"/>
    <n v="307"/>
    <s v="NÃO LOCALIZADO"/>
    <s v="TELEFONES SEM ATENDIMENTO"/>
    <n v="3"/>
    <x v="4"/>
    <s v="13.24"/>
    <s v="gleise"/>
    <s v="181 a 360"/>
    <s v="ACIONAMENTO"/>
    <x v="0"/>
  </r>
  <r>
    <s v="COGECOM"/>
    <n v="94234914"/>
    <s v="PETERSON JAEGER"/>
    <s v="OUT"/>
    <s v="OUTROS"/>
    <n v="92554571953"/>
    <x v="0"/>
    <s v="297.18"/>
    <s v="110.50"/>
    <n v="201"/>
    <s v="NÃO LOCALIZADO"/>
    <s v="TELEFONES SEM ATENDIMENTO"/>
    <n v="3"/>
    <x v="4"/>
    <s v="16.07"/>
    <s v="gleise"/>
    <s v="181 a 360"/>
    <s v="ACIONAMENTO"/>
    <x v="0"/>
  </r>
  <r>
    <s v="COGECOM"/>
    <n v="80321356"/>
    <s v="POSTO VALE DE PONTA GROSSA LTDA"/>
    <s v="OUT"/>
    <s v="OUTROS"/>
    <n v="23663724000110"/>
    <x v="0"/>
    <s v="517.38"/>
    <s v="366.90"/>
    <n v="850"/>
    <s v="SEM INTERESSE"/>
    <s v="NEGOCIAÇÃO VIA TELEFONE"/>
    <n v="3"/>
    <x v="4"/>
    <s v="14.57"/>
    <s v="gleise"/>
    <s v="Acima de 361"/>
    <s v="CPC"/>
    <x v="1"/>
  </r>
  <r>
    <s v="COGECOM"/>
    <n v="3090956704"/>
    <s v="PRISCILA TOLBE DA SILVA"/>
    <s v="OUT"/>
    <s v="OUTROS"/>
    <n v="427786037"/>
    <x v="0"/>
    <s v="2115.46"/>
    <s v="1139.78"/>
    <n v="564"/>
    <s v="NÃO LOCALIZADO"/>
    <s v="TELEFONES SEM ATENDIMENTO"/>
    <n v="3"/>
    <x v="4"/>
    <s v="16.54"/>
    <s v="gleise"/>
    <s v="Acima de 361"/>
    <s v="ACIONAMENTO"/>
    <x v="0"/>
  </r>
  <r>
    <s v="COGECOM"/>
    <n v="43222171"/>
    <s v="RECH LANCHONETE LTDA"/>
    <s v="OUT"/>
    <s v="OUTROS"/>
    <n v="25356543000177"/>
    <x v="0"/>
    <s v="24.66"/>
    <s v="24.66"/>
    <n v="1107"/>
    <m/>
    <s v="SOLICITAR EXTINÇÃO DA AÇÃO"/>
    <n v="9999"/>
    <x v="4"/>
    <s v="13.21"/>
    <s v="anakeppe"/>
    <s v="Acima de 361"/>
    <s v="ACIONAMENTO"/>
    <x v="4"/>
  </r>
  <r>
    <s v="COGECOM"/>
    <n v="102026610"/>
    <s v="ROBSON FERNANDO TYMUS"/>
    <s v="OUT"/>
    <s v="OUTROS"/>
    <n v="366023969"/>
    <x v="0"/>
    <s v="1094.38"/>
    <s v="153.70"/>
    <n v="326"/>
    <s v="SEM CONDIÇÕES"/>
    <s v="NEGOCIAÇÃO VIA TELEFONE"/>
    <n v="3"/>
    <x v="4"/>
    <s v="16.01"/>
    <s v="gleise"/>
    <s v="181 a 360"/>
    <s v="CPC"/>
    <x v="3"/>
  </r>
  <r>
    <s v="COGECOM"/>
    <n v="54819900"/>
    <s v="ROBSON RODRIGO AZEVEDO"/>
    <s v="OUT"/>
    <s v="OUTROS"/>
    <n v="4328520938"/>
    <x v="0"/>
    <s v="499.24"/>
    <s v="131.98"/>
    <n v="315"/>
    <s v="NÃO LOCALIZADO"/>
    <s v="SOLICITAR EXTINÇÃO DA AÇÃO"/>
    <n v="14"/>
    <x v="4"/>
    <s v="16.22"/>
    <s v="anakeppe"/>
    <s v="181 a 360"/>
    <s v="ACIONAMENTO"/>
    <x v="0"/>
  </r>
  <r>
    <s v="COGECOM"/>
    <n v="90081365"/>
    <s v="ROGERIO ALEXANDRE LEITE PEREIRA"/>
    <s v="OUT"/>
    <s v="OUTROS"/>
    <n v="52701697115"/>
    <x v="0"/>
    <s v="1155.98"/>
    <s v="121.69"/>
    <n v="214"/>
    <s v="AG RESPOSTA 1º CONTATO"/>
    <s v="ENVIADO MSG/E-MAIL 1º CONTATO"/>
    <n v="3"/>
    <x v="4"/>
    <s v="14.56"/>
    <s v="l.quadros"/>
    <s v="181 a 360"/>
    <s v="ACIONAMENTO"/>
    <x v="4"/>
  </r>
  <r>
    <s v="COGECOM"/>
    <n v="52899974"/>
    <s v="ROGERIO ARNALDO ALVES"/>
    <s v="OUT"/>
    <s v="OUTROS"/>
    <n v="72151889904"/>
    <x v="0"/>
    <s v="181.13"/>
    <s v="99.78"/>
    <n v="507"/>
    <s v="NÃO LOCALIZADO"/>
    <s v="TELEFONES SEM ATENDIMENTO"/>
    <n v="3"/>
    <x v="4"/>
    <s v="10.50"/>
    <s v="gleise"/>
    <s v="Acima de 361"/>
    <s v="ACIONAMENTO"/>
    <x v="0"/>
  </r>
  <r>
    <s v="COGECOM"/>
    <n v="10013168426"/>
    <s v="ROGERIO PEREIRA DA SILVA"/>
    <s v="OUT"/>
    <s v="OUTROS"/>
    <n v="70006176160"/>
    <x v="0"/>
    <s v="779.28"/>
    <s v="122.14"/>
    <n v="358"/>
    <s v="NÃO LOCALIZADO"/>
    <s v="TELEFONES SEM ATENDIMENTO"/>
    <n v="3"/>
    <x v="4"/>
    <s v="13.32"/>
    <s v="gleise"/>
    <s v="181 a 360"/>
    <s v="ACIONAMENTO"/>
    <x v="0"/>
  </r>
  <r>
    <s v="COGECOM"/>
    <n v="10006389900"/>
    <s v="RONY WELSON MESSIAS SANTOS DO NASCIMENTO"/>
    <s v="OUT"/>
    <s v="OUTROS"/>
    <n v="2617491102"/>
    <x v="0"/>
    <s v="467.96"/>
    <s v="34.06"/>
    <n v="342"/>
    <s v="EM NEGOCIAÇÃO"/>
    <s v="SOLICITAR EXTINÇÃO DA AÇÃO"/>
    <n v="9999"/>
    <x v="4"/>
    <s v="13.42"/>
    <s v="anakeppe"/>
    <s v="181 a 360"/>
    <s v="ACIONAMENTO"/>
    <x v="2"/>
  </r>
  <r>
    <s v="COGECOM"/>
    <n v="1125770"/>
    <s v="ROSELI PEREIRA SOARES"/>
    <s v="OUT"/>
    <s v="OUTROS"/>
    <n v="4427284922"/>
    <x v="0"/>
    <s v="526.42"/>
    <s v="526.42"/>
    <n v="443"/>
    <s v="NÃO LOCALIZADO"/>
    <s v="TELEFONES SEM ATENDIMENTO"/>
    <n v="3"/>
    <x v="4"/>
    <s v="11.42"/>
    <s v="gleise"/>
    <s v="Acima de 361"/>
    <s v="ACIONAMENTO"/>
    <x v="0"/>
  </r>
  <r>
    <s v="COGECOM"/>
    <n v="20482802"/>
    <s v="SAMUEL PEREIRA DA SILVA"/>
    <s v="OUT"/>
    <s v="OUTROS"/>
    <n v="5362072161"/>
    <x v="0"/>
    <s v="170.63"/>
    <s v="170.63"/>
    <n v="229"/>
    <s v="NÃO LOCALIZADO"/>
    <s v="TELEFONES SEM ATENDIMENTO"/>
    <n v="3"/>
    <x v="4"/>
    <s v="15.23"/>
    <s v="gleise"/>
    <s v="181 a 360"/>
    <s v="ACIONAMENTO"/>
    <x v="0"/>
  </r>
  <r>
    <s v="COGECOM"/>
    <n v="10013020003"/>
    <s v="SILVANO FELIX RODRIGUES JUNIOR"/>
    <s v="OUT"/>
    <s v="OUTROS"/>
    <n v="70409846104"/>
    <x v="0"/>
    <s v="169.84"/>
    <s v="73.25"/>
    <n v="253"/>
    <m/>
    <s v="SOLICITAR EXTINÇÃO DA AÇÃO"/>
    <n v="9999"/>
    <x v="4"/>
    <s v="13.40"/>
    <s v="anakeppe"/>
    <s v="181 a 360"/>
    <s v="ACIONAMENTO"/>
    <x v="4"/>
  </r>
  <r>
    <s v="COGECOM"/>
    <n v="3014072823"/>
    <s v="SILVIO CESAR MUSARRA SILVA"/>
    <s v="OUT"/>
    <s v="OUTROS"/>
    <n v="1532133618"/>
    <x v="0"/>
    <s v="593.36"/>
    <s v="174.62"/>
    <n v="447"/>
    <m/>
    <s v="SOLICITAR EXTINÇÃO DA AÇÃO"/>
    <n v="9999"/>
    <x v="4"/>
    <s v="15.27"/>
    <s v="anakeppe"/>
    <s v="Acima de 361"/>
    <s v="ACIONAMENTO"/>
    <x v="4"/>
  </r>
  <r>
    <s v="COGECOM"/>
    <n v="52782163"/>
    <s v="SUELI RIBEIRO DOS SANTOS"/>
    <s v="OUT"/>
    <s v="OUTROS"/>
    <n v="66981603934"/>
    <x v="0"/>
    <s v="718.95"/>
    <s v="209.31"/>
    <n v="314"/>
    <s v="SEM INTERESSE"/>
    <s v="SOLICITAR EXTINÇÃO DA AÇÃO"/>
    <n v="17"/>
    <x v="4"/>
    <s v="13.32"/>
    <s v="anakeppe"/>
    <s v="181 a 360"/>
    <s v="ACIONAMENTO"/>
    <x v="1"/>
  </r>
  <r>
    <s v="COGECOM"/>
    <n v="3095562929"/>
    <s v="TAMARA LORD"/>
    <s v="OUT"/>
    <s v="OUTROS"/>
    <n v="810454092"/>
    <x v="0"/>
    <s v="276.25"/>
    <s v="73.61"/>
    <n v="345"/>
    <s v="NÃO LOCALIZADO"/>
    <s v="TELEFONES SEM ATENDIMENTO"/>
    <n v="3"/>
    <x v="4"/>
    <s v="13.50"/>
    <s v="gleise"/>
    <s v="181 a 360"/>
    <s v="ACIONAMENTO"/>
    <x v="0"/>
  </r>
  <r>
    <s v="COGECOM"/>
    <n v="3085668567"/>
    <s v="TAMARA PIRES GUSEN"/>
    <s v="OUT"/>
    <s v="OUTROS"/>
    <n v="2352467004"/>
    <x v="0"/>
    <s v="347.31"/>
    <s v="240.91"/>
    <n v="328"/>
    <s v="NÃO LOCALIZADO"/>
    <s v="TELEFONES SEM ATENDIMENTO"/>
    <n v="3"/>
    <x v="4"/>
    <s v="15.16"/>
    <s v="gleise"/>
    <s v="181 a 360"/>
    <s v="ACIONAMENTO"/>
    <x v="0"/>
  </r>
  <r>
    <s v="COGECOM"/>
    <n v="30285190"/>
    <s v="TERESINHA APARECIDA CARDOSO"/>
    <s v="OUT"/>
    <s v="OUTROS"/>
    <n v="5340972941"/>
    <x v="0"/>
    <s v="103.06"/>
    <s v="103.06"/>
    <n v="585"/>
    <s v="SEM INTERESSE"/>
    <s v="NEGOCIAÇÃO VIA TELEFONE"/>
    <n v="3"/>
    <x v="4"/>
    <s v="9.33"/>
    <s v="anakeppe"/>
    <s v="Acima de 361"/>
    <s v="CPC"/>
    <x v="1"/>
  </r>
  <r>
    <s v="COGECOM"/>
    <n v="10326052"/>
    <s v="THIAGO DA ROSA"/>
    <s v="OUT"/>
    <s v="OUTROS"/>
    <n v="5573780956"/>
    <x v="0"/>
    <s v="723.28"/>
    <s v="346.85"/>
    <n v="283"/>
    <s v="NÃO LOCALIZADO"/>
    <s v="TELEFONES SEM ATENDIMENTO"/>
    <n v="3"/>
    <x v="4"/>
    <s v="11.47"/>
    <s v="gleise"/>
    <s v="181 a 360"/>
    <s v="ACIONAMENTO"/>
    <x v="0"/>
  </r>
  <r>
    <s v="COGECOM"/>
    <n v="52634620"/>
    <s v="VAGNER VITORINO DIDANET"/>
    <s v="OUT"/>
    <s v="OUTROS"/>
    <n v="9709020935"/>
    <x v="0"/>
    <s v="180.04"/>
    <s v="95.93"/>
    <n v="507"/>
    <m/>
    <s v="SOLICITAR EXTINÇÃO DA AÇÃO"/>
    <n v="9999"/>
    <x v="4"/>
    <s v="16.24"/>
    <s v="anakeppe"/>
    <s v="Acima de 361"/>
    <s v="ACIONAMENTO"/>
    <x v="4"/>
  </r>
  <r>
    <s v="COGECOM"/>
    <n v="4002139587"/>
    <s v="VINICIUS SILVA CALEGARI"/>
    <s v="OUT"/>
    <s v="OUTROS"/>
    <n v="1200057007"/>
    <x v="0"/>
    <s v="1577.36"/>
    <s v="184.04"/>
    <n v="327"/>
    <s v="NÃO LOCALIZADO"/>
    <s v="TELEFONES SEM ATENDIMENTO"/>
    <n v="3"/>
    <x v="4"/>
    <s v="13.46"/>
    <s v="gleise"/>
    <s v="181 a 360"/>
    <s v="ACIONAMENTO"/>
    <x v="0"/>
  </r>
  <r>
    <s v="COGECOM"/>
    <n v="3005192416"/>
    <s v="VIRGILIO DAMIAO"/>
    <s v="OUT"/>
    <s v="OUTROS"/>
    <n v="13112945620"/>
    <x v="0"/>
    <s v="421.63"/>
    <s v="157.92"/>
    <n v="447"/>
    <s v="SEM INTERESSE"/>
    <s v="SOLICITAR EXTINÇÃO DA AÇÃO"/>
    <n v="10"/>
    <x v="4"/>
    <s v="15.41"/>
    <s v="anakeppe"/>
    <s v="Acima de 361"/>
    <s v="ACIONAMENTO"/>
    <x v="1"/>
  </r>
  <r>
    <s v="COGECOM"/>
    <n v="3014726688"/>
    <s v="VIVIANE RODRIGUES LOURENCO"/>
    <s v="OUT"/>
    <s v="OUTROS"/>
    <n v="7920912644"/>
    <x v="0"/>
    <s v="665.48"/>
    <s v="132.23"/>
    <n v="445"/>
    <s v="NÃO LOCALIZADO"/>
    <s v="TELEFONES SEM ATENDIMENTO"/>
    <n v="3"/>
    <x v="4"/>
    <s v="14.03"/>
    <s v="gleise"/>
    <s v="Acima de 361"/>
    <s v="ACIONAMENTO"/>
    <x v="0"/>
  </r>
  <r>
    <s v="COGECOM"/>
    <n v="47643503"/>
    <s v="WALTER GUILHERME SCHULER"/>
    <s v="OUT"/>
    <s v="OUTROS"/>
    <n v="53457420904"/>
    <x v="0"/>
    <s v="236.41"/>
    <s v="100.97"/>
    <n v="569"/>
    <s v="NÃO LOCALIZADO"/>
    <s v="TELEFONES SEM ATENDIMENTO"/>
    <n v="3"/>
    <x v="4"/>
    <s v="10.28"/>
    <s v="gleise"/>
    <s v="Acima de 361"/>
    <s v="ACIONAMENTO"/>
    <x v="0"/>
  </r>
  <r>
    <s v="COGECOM"/>
    <n v="1370009905"/>
    <s v="WILKER LUCAS DE CASTRO AGOSTINHO"/>
    <s v="OUT"/>
    <s v="OUTROS"/>
    <n v="6342855137"/>
    <x v="0"/>
    <s v="3518.00"/>
    <s v="554.30"/>
    <n v="297"/>
    <s v="SEM INTERESSE"/>
    <s v="NEGOCIAÇÃO VIA TELEFONE"/>
    <n v="3"/>
    <x v="4"/>
    <s v="13.19"/>
    <s v="gleise"/>
    <s v="181 a 360"/>
    <s v="CPC"/>
    <x v="1"/>
  </r>
  <r>
    <s v="COGECOM"/>
    <n v="105356328"/>
    <s v="WILLIAN LOMES DA  SILVA"/>
    <s v="OUT"/>
    <s v="OUTROS"/>
    <n v="782680100"/>
    <x v="0"/>
    <s v="423.38"/>
    <s v="103.62"/>
    <n v="620"/>
    <s v="SEM INTERESSE"/>
    <s v="NEGOCIAÇÃO VIA TELEFONE"/>
    <n v="3"/>
    <x v="4"/>
    <s v="11.35"/>
    <s v="gleise"/>
    <s v="Acima de 361"/>
    <s v="CPC"/>
    <x v="1"/>
  </r>
  <r>
    <s v="COGECOM"/>
    <n v="69898430"/>
    <s v="WILLIAN TORRES DE LIMA"/>
    <s v="OUT"/>
    <s v="OUTROS"/>
    <n v="9821790909"/>
    <x v="0"/>
    <s v="1262.54"/>
    <s v="233.62"/>
    <n v="313"/>
    <s v="NÃO LOCALIZADO"/>
    <s v="TELEFONES SEM ATENDIMENTO"/>
    <n v="3"/>
    <x v="4"/>
    <s v="17.09"/>
    <s v="gleise"/>
    <s v="181 a 360"/>
    <s v="ACIONAMENTO"/>
    <x v="0"/>
  </r>
  <r>
    <s v="COGECOM"/>
    <n v="10027765464"/>
    <s v="FILIPE RODRIGUES SILVA"/>
    <s v="OUT"/>
    <s v="OUTROS"/>
    <n v="4434893190"/>
    <x v="0"/>
    <s v="9247.42"/>
    <s v="5269.85"/>
    <n v="335"/>
    <s v="NÃO LOCALIZADO"/>
    <s v="TELEFONES SEM ATENDIMENTO"/>
    <n v="3"/>
    <x v="4"/>
    <s v="10.53"/>
    <s v="gleise"/>
    <s v="181 a 360"/>
    <s v="ACIONAMENTO"/>
    <x v="0"/>
  </r>
  <r>
    <s v="COGECOM"/>
    <n v="89332555"/>
    <s v="RANCHO GOURMET LTDA"/>
    <s v="OUT"/>
    <s v="OUTROS"/>
    <n v="20897486000110"/>
    <x v="0"/>
    <s v="14264.01"/>
    <s v="4314.32"/>
    <n v="286"/>
    <s v="NÃO LOCALIZADO"/>
    <s v="SOLICITAR EXTINÇÃO DA AÇÃO"/>
    <n v="10"/>
    <x v="4"/>
    <s v="16.08"/>
    <s v="anakeppe"/>
    <s v="181 a 360"/>
    <s v="ACIONAMENTO"/>
    <x v="0"/>
  </r>
  <r>
    <s v="COGECOM"/>
    <n v="3007401481"/>
    <s v="ITUIUTABA CLUB SOC RECR E ESPORTIVA"/>
    <s v="OUT"/>
    <s v="OUTROS"/>
    <n v="21330725000118"/>
    <x v="0"/>
    <s v="1906.81"/>
    <s v="1906.81"/>
    <n v="244"/>
    <s v="AG RESPOSTA 1º CONTATO"/>
    <s v="ENVIADO MSG/E-MAIL 1º CONTATO"/>
    <n v="3"/>
    <x v="4"/>
    <s v="15.08"/>
    <s v="l.quadros"/>
    <s v="181 a 360"/>
    <s v="ACIONAMENTO"/>
    <x v="4"/>
  </r>
  <r>
    <s v="COGECOM"/>
    <n v="3013586512"/>
    <s v="PEDRO TAVARES LIMA"/>
    <s v="OUT"/>
    <s v="OUTROS"/>
    <n v="4095321695"/>
    <x v="0"/>
    <s v="2541.22"/>
    <s v="1308.50"/>
    <n v="354"/>
    <s v="NÃO LOCALIZADO"/>
    <s v="TELEFONES SEM ATENDIMENTO"/>
    <n v="3"/>
    <x v="4"/>
    <s v="11.41"/>
    <s v="gleise"/>
    <s v="181 a 360"/>
    <s v="ACIONAMENTO"/>
    <x v="0"/>
  </r>
  <r>
    <s v="COGECOM"/>
    <n v="7253745"/>
    <s v="RAINILDE STIPP HERDT"/>
    <s v="OUT"/>
    <s v="OUTROS"/>
    <n v="1626749965"/>
    <x v="0"/>
    <s v="189.74"/>
    <s v="877.75"/>
    <n v="231"/>
    <s v="SEM INTERESSE"/>
    <s v="NEGOCIAÇÃO VIA TELEFONE"/>
    <n v="3"/>
    <x v="4"/>
    <s v="15.20"/>
    <s v="gleise"/>
    <s v="181 a 360"/>
    <s v="CPC"/>
    <x v="1"/>
  </r>
  <r>
    <s v="COGECOM"/>
    <n v="3095750836"/>
    <s v="VANESSA SCHNEIDER MATIAS"/>
    <s v="OUT"/>
    <s v="OUTROS"/>
    <n v="1731352000"/>
    <x v="0"/>
    <s v="456.05"/>
    <s v="598.48"/>
    <n v="250"/>
    <s v="NÃO LOCALIZADO"/>
    <s v="TELEFONES SEM ATENDIMENTO"/>
    <n v="3"/>
    <x v="4"/>
    <s v="13.49"/>
    <s v="gleise"/>
    <s v="181 a 360"/>
    <s v="ACIONAMENTO"/>
    <x v="0"/>
  </r>
  <r>
    <s v="COGECOM"/>
    <n v="3005994511"/>
    <s v="FABIOLA PESSALI BRUZELLO"/>
    <s v="OUT"/>
    <s v="OUTROS"/>
    <n v="11500350729"/>
    <x v="0"/>
    <s v="468.67"/>
    <s v="423.04"/>
    <n v="176"/>
    <s v="NÃO LOCALIZADO"/>
    <s v="TELEFONES SEM ATENDIMENTO"/>
    <n v="3"/>
    <x v="4"/>
    <s v="16.36"/>
    <s v="gleise"/>
    <s v="91 a 180"/>
    <s v="ACIONAMENTO"/>
    <x v="0"/>
  </r>
  <r>
    <s v="COGECOM"/>
    <n v="12515213"/>
    <s v="RAPHAEL ANDRE NETO"/>
    <s v="OUT"/>
    <s v="OUTROS"/>
    <n v="11578017904"/>
    <x v="0"/>
    <s v="2401.70"/>
    <s v="400.68"/>
    <n v="190"/>
    <s v="NÃO LOCALIZADO"/>
    <s v="TELEFONES SEM ATENDIMENTO"/>
    <n v="3"/>
    <x v="4"/>
    <s v="14.55"/>
    <s v="gleise"/>
    <s v="181 a 360"/>
    <s v="ACIONAMENTO"/>
    <x v="0"/>
  </r>
  <r>
    <s v="COGECOM"/>
    <n v="22090810"/>
    <s v="GILSON ISLEB"/>
    <s v="OUT"/>
    <s v="OUTROS"/>
    <n v="77497430904"/>
    <x v="0"/>
    <s v="903.96"/>
    <s v="352.75"/>
    <n v="189"/>
    <s v="AG RESPOSTA 1º CONTATO"/>
    <s v="ENVIADO MSG/E-MAIL 1º CONTATO"/>
    <n v="3"/>
    <x v="4"/>
    <s v="16.34"/>
    <s v="l.quadros"/>
    <s v="181 a 360"/>
    <s v="ACIONAMENTO"/>
    <x v="4"/>
  </r>
  <r>
    <s v="COGECOM"/>
    <n v="84314362"/>
    <s v="DAYVID RAFAEL BANDEIRA AMARAL"/>
    <s v="OUT"/>
    <s v="OUTROS"/>
    <n v="10211574490"/>
    <x v="0"/>
    <s v="333.39"/>
    <s v="333.39"/>
    <n v="192"/>
    <s v="NÃO LOCALIZADO"/>
    <s v="TELEFONES SEM ATENDIMENTO"/>
    <n v="3"/>
    <x v="4"/>
    <s v="16.11"/>
    <s v="gleise"/>
    <s v="181 a 360"/>
    <s v="ACIONAMENTO"/>
    <x v="0"/>
  </r>
  <r>
    <s v="COGECOM"/>
    <n v="3011637227"/>
    <s v="WILLIAN SILVA DE AQUINO"/>
    <s v="OUT"/>
    <s v="OUTROS"/>
    <n v="3751278605"/>
    <x v="0"/>
    <s v="91.21"/>
    <s v="183.45"/>
    <n v="197"/>
    <s v="NÃO LOCALIZADO"/>
    <s v="TELEFONES SEM ATENDIMENTO"/>
    <n v="3"/>
    <x v="4"/>
    <s v="16.44"/>
    <s v="gleise"/>
    <s v="181 a 360"/>
    <s v="ACIONAMENTO"/>
    <x v="0"/>
  </r>
  <r>
    <s v="COGECOM"/>
    <n v="3007686877"/>
    <s v="OZEAS BARBOSA JUNIOR"/>
    <s v="OUT"/>
    <s v="OUTROS"/>
    <n v="4505780627"/>
    <x v="0"/>
    <s v="648.35"/>
    <s v="175.87"/>
    <n v="176"/>
    <s v="AG RESPOSTA 1º CONTATO"/>
    <s v="ENVIADO MSG/E-MAIL 1º CONTATO"/>
    <n v="3"/>
    <x v="4"/>
    <s v="16.44"/>
    <s v="l.quadros"/>
    <s v="91 a 180"/>
    <s v="ACIONAMENTO"/>
    <x v="4"/>
  </r>
  <r>
    <s v="COGECOM"/>
    <n v="41818921"/>
    <s v="AUGUSTO PELEGRINI GOMES"/>
    <s v="OUT"/>
    <s v="OUTROS"/>
    <n v="5516029961"/>
    <x v="0"/>
    <s v="494.18"/>
    <s v="131.33"/>
    <n v="225"/>
    <s v="SEM INTERESSE"/>
    <s v="NEGOCIAÇÃO VIA TELEFONE"/>
    <n v="3"/>
    <x v="4"/>
    <s v="13.52"/>
    <s v="anakeppe"/>
    <s v="181 a 360"/>
    <s v="CPC"/>
    <x v="1"/>
  </r>
  <r>
    <s v="COGECOM"/>
    <n v="10018815217"/>
    <s v="JUDAH SANTIAGO DE ANDRADE"/>
    <s v="OUT"/>
    <s v="OUTROS"/>
    <n v="4132333167"/>
    <x v="0"/>
    <s v="826.81"/>
    <s v="106.72"/>
    <n v="354"/>
    <s v="NÃO LOCALIZADO"/>
    <s v="TELEFONES SEM ATENDIMENTO"/>
    <n v="3"/>
    <x v="4"/>
    <s v="16.40"/>
    <s v="gleise"/>
    <s v="181 a 360"/>
    <s v="ACIONAMENTO"/>
    <x v="0"/>
  </r>
  <r>
    <s v="COGECOM"/>
    <n v="10000626595"/>
    <s v="WELTEMAR RODRIGUES DA SILVA"/>
    <s v="OUT"/>
    <s v="OUTROS"/>
    <n v="1095744194"/>
    <x v="0"/>
    <s v="433.78"/>
    <s v="99.81"/>
    <n v="186"/>
    <m/>
    <s v="SOLICITAR EXTINÇÃO DA AÇÃO"/>
    <n v="9999"/>
    <x v="4"/>
    <s v="13.43"/>
    <s v="anakeppe"/>
    <s v="181 a 360"/>
    <s v="ACIONAMENTO"/>
    <x v="4"/>
  </r>
  <r>
    <s v="COGECOM"/>
    <n v="2860118660"/>
    <s v="REINALDO BONTEMPO"/>
    <s v="OUT"/>
    <s v="OUTROS"/>
    <n v="43157076604"/>
    <x v="0"/>
    <s v="389.31"/>
    <s v="98.49"/>
    <n v="186"/>
    <s v="NÃO LOCALIZADO"/>
    <s v="SOLICITAR EXTINÇÃO DA AÇÃO"/>
    <n v="6"/>
    <x v="4"/>
    <s v="15.50"/>
    <s v="anakeppe"/>
    <s v="181 a 360"/>
    <s v="ACIONAMENTO"/>
    <x v="0"/>
  </r>
  <r>
    <s v="COGECOM"/>
    <n v="3014420925"/>
    <s v="ARIELE RODRIGUES ALMEIDA FARIAS"/>
    <s v="OUT"/>
    <s v="OUTROS"/>
    <n v="12864852667"/>
    <x v="0"/>
    <s v="533.89"/>
    <s v="91.91"/>
    <n v="182"/>
    <s v="NÃO LOCALIZADO"/>
    <s v="TELEFONES SEM ATENDIMENTO"/>
    <n v="3"/>
    <x v="4"/>
    <s v="16.43"/>
    <s v="gleise"/>
    <s v="181 a 360"/>
    <s v="ACIONAMENTO"/>
    <x v="0"/>
  </r>
  <r>
    <s v="COGECOM"/>
    <n v="3006703534"/>
    <s v="ANTONIO DIVINO SOARES"/>
    <s v="OUT"/>
    <s v="OUTROS"/>
    <n v="612578690"/>
    <x v="0"/>
    <s v="342.58"/>
    <s v="80.06"/>
    <n v="194"/>
    <s v="AG RESPOSTA 1º CONTATO"/>
    <s v="ENVIADO MSG/E-MAIL 1º CONTATO"/>
    <n v="3"/>
    <x v="4"/>
    <s v="11.59"/>
    <s v="l.quadros"/>
    <s v="181 a 360"/>
    <s v="ACIONAMENTO"/>
    <x v="4"/>
  </r>
  <r>
    <s v="COGECOM"/>
    <n v="10012282438"/>
    <s v="FABIO RODRIGUES QUINTILIANO"/>
    <s v="OUT"/>
    <s v="OUTROS"/>
    <n v="1223819639"/>
    <x v="0"/>
    <s v="66.75"/>
    <s v="50.24"/>
    <n v="163"/>
    <m/>
    <s v="SOLICITAR EXTINÇÃO DA AÇÃO"/>
    <n v="9999"/>
    <x v="4"/>
    <s v="13.40"/>
    <s v="anakeppe"/>
    <s v="91 a 180"/>
    <s v="ACIONAMENTO"/>
    <x v="4"/>
  </r>
  <r>
    <s v="COGECOM"/>
    <n v="10035787668"/>
    <s v="SIMONE DA SILVA RIBEIRO"/>
    <s v="OUT"/>
    <s v="OUTROS"/>
    <n v="1882069145"/>
    <x v="0"/>
    <s v="246.43"/>
    <s v="15.38"/>
    <n v="178"/>
    <s v="NÃO LOCALIZADO"/>
    <s v="TELEFONES SEM ATENDIMENTO"/>
    <n v="3"/>
    <x v="4"/>
    <s v="14.44"/>
    <s v="gleise"/>
    <s v="91 a 180"/>
    <s v="ACIONAMENTO"/>
    <x v="0"/>
  </r>
  <r>
    <s v="COGECOM"/>
    <n v="10022336069"/>
    <s v="IVAN DESIDÉRIO"/>
    <s v="OUT"/>
    <s v="OUTROS"/>
    <n v="3383001121"/>
    <x v="0"/>
    <s v="280.92"/>
    <s v="200.30"/>
    <n v="177"/>
    <s v="NÃO LOCALIZADO"/>
    <s v="TELEFONES SEM ATENDIMENTO"/>
    <n v="3"/>
    <x v="4"/>
    <s v="11.54"/>
    <s v="gleise"/>
    <s v="91 a 180"/>
    <s v="ACIONAMENTO"/>
    <x v="0"/>
  </r>
  <r>
    <s v="COGECOM"/>
    <n v="10014481020"/>
    <s v="JULIANA DA SILVA CAVALCANTI"/>
    <s v="OUT"/>
    <s v="OUTROS"/>
    <n v="70949042153"/>
    <x v="0"/>
    <s v="251.10"/>
    <s v="73.29"/>
    <n v="179"/>
    <s v="NÃO LOCALIZADO"/>
    <s v="SOLICITAR EXTINÇÃO DA AÇÃO"/>
    <n v="14"/>
    <x v="4"/>
    <s v="13.40"/>
    <s v="anakeppe"/>
    <s v="91 a 180"/>
    <s v="ACIONAMENTO"/>
    <x v="0"/>
  </r>
  <r>
    <s v="COGECOM"/>
    <n v="2460197956"/>
    <s v="ADRIANO DA SILVA DE OLIVEIRA"/>
    <s v="OUT"/>
    <s v="OUTROS"/>
    <n v="3657858148"/>
    <x v="0"/>
    <s v="201.96"/>
    <s v="30.76"/>
    <n v="179"/>
    <s v="NÃO LOCALIZADO"/>
    <s v="TELEFONES SEM ATENDIMENTO"/>
    <n v="3"/>
    <x v="4"/>
    <s v="13.29"/>
    <s v="gleise"/>
    <s v="91 a 180"/>
    <s v="ACIONAMENTO"/>
    <x v="0"/>
  </r>
  <r>
    <s v="COGECOM"/>
    <n v="10032874705"/>
    <s v="CAMILA CARVALHO DOS SANTOS"/>
    <s v="OUT"/>
    <s v="OUTROS"/>
    <n v="4002418111"/>
    <x v="0"/>
    <s v="397.14"/>
    <s v="149.30"/>
    <n v="147"/>
    <s v="NÃO LOCALIZADO"/>
    <s v="TELEFONES SEM ATENDIMENTO"/>
    <n v="3"/>
    <x v="4"/>
    <s v="11.32"/>
    <s v="gleise"/>
    <s v="91 a 180"/>
    <s v="ACIONAMENTO"/>
    <x v="0"/>
  </r>
  <r>
    <s v="COGECOM"/>
    <n v="3085187533"/>
    <s v="DARIO MENDES NUNES"/>
    <s v="OUT"/>
    <s v="OUTROS"/>
    <n v="77359739004"/>
    <x v="0"/>
    <s v="1035.58"/>
    <s v="146.55"/>
    <n v="198"/>
    <s v="NÃO LOCALIZADO"/>
    <s v="TELEFONES SEM ATENDIMENTO"/>
    <n v="3"/>
    <x v="4"/>
    <s v="16.35"/>
    <s v="gleise"/>
    <s v="181 a 360"/>
    <s v="ACIONAMENTO"/>
    <x v="0"/>
  </r>
  <r>
    <s v="COGECOM"/>
    <n v="32199740"/>
    <s v="EDINEA RIGO DIAS"/>
    <s v="OUT"/>
    <s v="OUTROS"/>
    <n v="2504713967"/>
    <x v="0"/>
    <s v="811.18"/>
    <s v="30.07"/>
    <n v="175"/>
    <s v="NÃO LOCALIZADO"/>
    <s v="TELEFONES SEM ATENDIMENTO"/>
    <n v="3"/>
    <x v="4"/>
    <s v="16.53"/>
    <s v="gleise"/>
    <s v="91 a 180"/>
    <s v="ACIONAMENTO"/>
    <x v="0"/>
  </r>
  <r>
    <s v="COGECOM"/>
    <n v="102633169"/>
    <s v="EDERSON LUCAS DA SILVA"/>
    <s v="OUT"/>
    <s v="OUTROS"/>
    <n v="4113116970"/>
    <x v="0"/>
    <s v="1720.60"/>
    <s v="256.03"/>
    <n v="162"/>
    <s v="NÃO LOCALIZADO"/>
    <s v="TELEFONES SEM ATENDIMENTO"/>
    <n v="3"/>
    <x v="4"/>
    <s v="16.00"/>
    <s v="gleise"/>
    <s v="91 a 180"/>
    <s v="ACIONAMENTO"/>
    <x v="0"/>
  </r>
  <r>
    <s v="COGECOM"/>
    <n v="79122337"/>
    <s v="FELIPE GOMES DE ALMEIDA"/>
    <s v="OUT"/>
    <s v="OUTROS"/>
    <n v="12971277909"/>
    <x v="0"/>
    <s v="519.21"/>
    <s v="174.68"/>
    <n v="161"/>
    <s v="NÃO LOCALIZADO"/>
    <s v="TELEFONES SEM ATENDIMENTO"/>
    <n v="3"/>
    <x v="4"/>
    <s v="16.14"/>
    <s v="gleise"/>
    <s v="91 a 180"/>
    <s v="ACIONAMENTO"/>
    <x v="0"/>
  </r>
  <r>
    <s v="COGECOM"/>
    <n v="3013700818"/>
    <s v="ENIO HUMBERTO DE SOUZA MOREIRA"/>
    <s v="OUT"/>
    <s v="OUTROS"/>
    <n v="11381751610"/>
    <x v="0"/>
    <s v="422.02"/>
    <s v="63.18"/>
    <n v="158"/>
    <s v="SEM INTERESSE"/>
    <s v="NEGOCIAÇÃO VIA TELEFONE"/>
    <n v="3"/>
    <x v="4"/>
    <s v="15.33"/>
    <s v="gleise"/>
    <s v="91 a 180"/>
    <s v="CPC"/>
    <x v="1"/>
  </r>
  <r>
    <s v="COGECOM"/>
    <n v="3014554877"/>
    <s v="JOSE GERALDO SALOMAO"/>
    <s v="OUT"/>
    <s v="OUTROS"/>
    <n v="3571860608"/>
    <x v="0"/>
    <s v="435.88"/>
    <s v="63.18"/>
    <n v="158"/>
    <m/>
    <s v="SOLICITAR EXTINÇÃO DA AÇÃO"/>
    <n v="9999"/>
    <x v="4"/>
    <s v="15.26"/>
    <s v="anakeppe"/>
    <s v="91 a 180"/>
    <s v="ACIONAMENTO"/>
    <x v="4"/>
  </r>
  <r>
    <s v="COGECOM"/>
    <n v="3001378976"/>
    <s v="ALEX ROCHA OLIVEIRA"/>
    <s v="OUT"/>
    <s v="OUTROS"/>
    <n v="6993635518"/>
    <x v="0"/>
    <s v="315.50"/>
    <s v="315.50"/>
    <n v="152"/>
    <s v="NÃO LOCALIZADO"/>
    <s v="TELEFONES SEM ATENDIMENTO"/>
    <n v="3"/>
    <x v="4"/>
    <s v="17.03"/>
    <s v="gleise"/>
    <s v="91 a 180"/>
    <s v="ACIONAMENTO"/>
    <x v="0"/>
  </r>
  <r>
    <s v="COGECOM"/>
    <n v="3004433239"/>
    <s v="JUNIA CELESTINA RIBEIRO"/>
    <s v="OUT"/>
    <s v="OUTROS"/>
    <n v="76179389691"/>
    <x v="0"/>
    <s v="470.20"/>
    <s v="470.20"/>
    <n v="170"/>
    <s v="NÃO LOCALIZADO"/>
    <s v="TELEFONES SEM ATENDIMENTO"/>
    <n v="3"/>
    <x v="4"/>
    <s v="16.59"/>
    <s v="gleise"/>
    <s v="91 a 180"/>
    <s v="ACIONAMENTO"/>
    <x v="0"/>
  </r>
  <r>
    <s v="COGECOM"/>
    <n v="3013861722"/>
    <s v="DEISIENE FABIANA DE OLIVEIRA"/>
    <s v="OUT"/>
    <s v="OUTROS"/>
    <n v="8361600612"/>
    <x v="0"/>
    <s v="535.81"/>
    <s v="119.08"/>
    <n v="159"/>
    <s v="NÃO LOCALIZADO"/>
    <s v="TELEFONES SEM ATENDIMENTO"/>
    <n v="3"/>
    <x v="4"/>
    <s v="14.34"/>
    <s v="gleise"/>
    <s v="91 a 180"/>
    <s v="ACIONAMENTO"/>
    <x v="0"/>
  </r>
  <r>
    <s v="COGECOM"/>
    <n v="690283994"/>
    <s v="VIVIAN RODRIGUES DE ARAUJO"/>
    <s v="OUT"/>
    <s v="OUTROS"/>
    <n v="4792573459"/>
    <x v="0"/>
    <s v="255.17"/>
    <s v="61.53"/>
    <n v="152"/>
    <s v="NÃO LOCALIZADO"/>
    <s v="TELEFONES SEM ATENDIMENTO"/>
    <n v="3"/>
    <x v="4"/>
    <s v="10.52"/>
    <s v="gleise"/>
    <s v="91 a 180"/>
    <s v="ACIONAMENTO"/>
    <x v="0"/>
  </r>
  <r>
    <s v="COGECOM"/>
    <n v="84954345"/>
    <s v="LETÍCIA PAES FREIRE"/>
    <s v="OUT"/>
    <s v="OUTROS"/>
    <n v="33095211848"/>
    <x v="0"/>
    <s v="601.69"/>
    <s v="289.08"/>
    <n v="135"/>
    <s v="AG RESPOSTA 1º CONTATO"/>
    <s v="ENVIADO MSG/E-MAIL 1º CONTATO"/>
    <n v="3"/>
    <x v="4"/>
    <s v="11.40"/>
    <s v="l.quadros"/>
    <s v="91 a 180"/>
    <s v="ACIONAMENTO"/>
    <x v="4"/>
  </r>
  <r>
    <s v="COGECOM"/>
    <n v="10018414050"/>
    <s v="VICTOR RAPHAEL MESSIAS GOMES"/>
    <s v="OUT"/>
    <s v="OUTROS"/>
    <n v="2008433110"/>
    <x v="0"/>
    <s v="752.10"/>
    <s v="287.49"/>
    <n v="136"/>
    <s v="NÃO LOCALIZADO"/>
    <s v="TELEFONES SEM ATENDIMENTO"/>
    <n v="3"/>
    <x v="4"/>
    <s v="11.11"/>
    <s v="gleise"/>
    <s v="91 a 180"/>
    <s v="ACIONAMENTO"/>
    <x v="0"/>
  </r>
  <r>
    <s v="COGECOM"/>
    <n v="3007252441"/>
    <s v="ELIZABETH GONCALVES ROCHA"/>
    <s v="OUT"/>
    <s v="OUTROS"/>
    <n v="74638360610"/>
    <x v="0"/>
    <s v="261.22"/>
    <s v="261.22"/>
    <n v="148"/>
    <s v="NÃO LOCALIZADO"/>
    <s v="TELEFONES SEM ATENDIMENTO"/>
    <n v="3"/>
    <x v="4"/>
    <s v="17.06"/>
    <s v="gleise"/>
    <s v="91 a 180"/>
    <s v="ACIONAMENTO"/>
    <x v="0"/>
  </r>
  <r>
    <s v="COGECOM"/>
    <n v="84877987"/>
    <s v="CELIA DE OLIVEIRA RODRIGUES"/>
    <s v="OUT"/>
    <s v="OUTROS"/>
    <n v="3390878971"/>
    <x v="0"/>
    <s v="767.79"/>
    <s v="241.48"/>
    <n v="135"/>
    <m/>
    <s v="SOLICITAR EXTINÇÃO DA AÇÃO"/>
    <n v="9999"/>
    <x v="4"/>
    <s v="16.10"/>
    <s v="anakeppe"/>
    <s v="91 a 180"/>
    <s v="ACIONAMENTO"/>
    <x v="4"/>
  </r>
  <r>
    <s v="COGECOM"/>
    <n v="99906260"/>
    <s v="RENATO AURELIANO"/>
    <s v="OUT"/>
    <s v="OUTROS"/>
    <n v="77328728949"/>
    <x v="0"/>
    <s v="354.92"/>
    <s v="189.97"/>
    <n v="132"/>
    <m/>
    <s v="ESTORNO"/>
    <n v="9999"/>
    <x v="4"/>
    <s v="9.25"/>
    <s v="luciano"/>
    <s v="91 a 180"/>
    <s v="ACIONAMENTO"/>
    <x v="4"/>
  </r>
  <r>
    <s v="COGECOM"/>
    <n v="88564118"/>
    <s v="ELIETH LESSA FONSECA"/>
    <s v="OUT"/>
    <s v="OUTROS"/>
    <n v="60185465900"/>
    <x v="0"/>
    <s v="119.72"/>
    <s v="166.59"/>
    <n v="132"/>
    <s v="SEM INTERESSE"/>
    <s v="ESTORNO"/>
    <n v="10"/>
    <x v="4"/>
    <s v="9.27"/>
    <s v="luciano"/>
    <s v="91 a 180"/>
    <s v="ACIONAMENTO"/>
    <x v="1"/>
  </r>
  <r>
    <s v="COGECOM"/>
    <n v="43832822"/>
    <s v="JOSE CARLOS GELAIN"/>
    <s v="OUT"/>
    <s v="OUTROS"/>
    <n v="94909318887"/>
    <x v="0"/>
    <s v="641.33"/>
    <s v="161.09"/>
    <n v="135"/>
    <s v="NÃO LOCALIZADO"/>
    <s v="SOLICITAR EXTINÇÃO DA AÇÃO"/>
    <n v="14"/>
    <x v="4"/>
    <s v="13.23"/>
    <s v="gleise"/>
    <s v="91 a 180"/>
    <s v="ACIONAMENTO"/>
    <x v="0"/>
  </r>
  <r>
    <s v="COGECOM"/>
    <n v="77201582"/>
    <s v="RAFAEL MONTINI RODRIGUES ALVES"/>
    <s v="OUT"/>
    <s v="OUTROS"/>
    <n v="4126375961"/>
    <x v="0"/>
    <s v="202.69"/>
    <s v="150.97"/>
    <n v="132"/>
    <m/>
    <s v="SOLICITAR EXTINÇÃO DA AÇÃO"/>
    <n v="9999"/>
    <x v="4"/>
    <s v="16.14"/>
    <s v="anakeppe"/>
    <s v="91 a 180"/>
    <s v="ACIONAMENTO"/>
    <x v="4"/>
  </r>
  <r>
    <s v="COGECOM"/>
    <n v="10006229920"/>
    <s v="ELISANGELA RAMOS DE ASSIS"/>
    <s v="OUT"/>
    <s v="OUTROS"/>
    <n v="1776239180"/>
    <x v="0"/>
    <s v="552.21"/>
    <s v="145.11"/>
    <n v="146"/>
    <m/>
    <s v="SOLICITAR EXTINÇÃO DA AÇÃO"/>
    <n v="9999"/>
    <x v="4"/>
    <s v="13.42"/>
    <s v="anakeppe"/>
    <s v="91 a 180"/>
    <s v="ACIONAMENTO"/>
    <x v="4"/>
  </r>
  <r>
    <s v="COGECOM"/>
    <n v="10013390242"/>
    <s v="ALESSANDRO BUENO"/>
    <s v="OUT"/>
    <s v="OUTROS"/>
    <n v="63565471115"/>
    <x v="0"/>
    <s v="290.82"/>
    <s v="142.78"/>
    <n v="148"/>
    <s v="NÃO LOCALIZADO"/>
    <s v="TELEFONES SEM ATENDIMENTO"/>
    <n v="3"/>
    <x v="4"/>
    <s v="14.32"/>
    <s v="gleise"/>
    <s v="91 a 180"/>
    <s v="ACIONAMENTO"/>
    <x v="0"/>
  </r>
  <r>
    <s v="COGECOM"/>
    <n v="3013499149"/>
    <s v="EDIONE SANTOS PEREIRA"/>
    <s v="OUT"/>
    <s v="OUTROS"/>
    <n v="13753974862"/>
    <x v="0"/>
    <s v="809.23"/>
    <s v="128.92"/>
    <n v="151"/>
    <s v="SEM INTERESSE"/>
    <s v="SOLICITAR EXTINÇÃO DA AÇÃO"/>
    <n v="70"/>
    <x v="4"/>
    <s v="15.28"/>
    <s v="anakeppe"/>
    <s v="91 a 180"/>
    <s v="ACIONAMENTO"/>
    <x v="1"/>
  </r>
  <r>
    <s v="COGECOM"/>
    <n v="10008112930"/>
    <s v="JANAINA URCINO XAVIER PRADO"/>
    <s v="OUT"/>
    <s v="OUTROS"/>
    <n v="2614556130"/>
    <x v="0"/>
    <s v="365.84"/>
    <s v="125.94"/>
    <n v="146"/>
    <m/>
    <s v="SOLICITAR EXTINÇÃO DA AÇÃO"/>
    <n v="9999"/>
    <x v="4"/>
    <s v="13.41"/>
    <s v="anakeppe"/>
    <s v="91 a 180"/>
    <s v="ACIONAMENTO"/>
    <x v="4"/>
  </r>
  <r>
    <s v="COGECOM"/>
    <n v="71259473"/>
    <s v="MARILIS SIBELE DOS SANTOS"/>
    <s v="OUT"/>
    <s v="OUTROS"/>
    <n v="397065914"/>
    <x v="0"/>
    <s v="838.12"/>
    <s v="125.19"/>
    <n v="135"/>
    <s v="SEM INTERESSE"/>
    <s v="NEGOCIAÇÃO VIA TELEFONE"/>
    <n v="3"/>
    <x v="4"/>
    <s v="10.48"/>
    <s v="gleise"/>
    <s v="91 a 180"/>
    <s v="CPC"/>
    <x v="1"/>
  </r>
  <r>
    <s v="COGECOM"/>
    <n v="3001140863"/>
    <s v="JOSE ITAMAR DOS REIS"/>
    <s v="OUT"/>
    <s v="OUTROS"/>
    <n v="31282792687"/>
    <x v="0"/>
    <s v="223.47"/>
    <s v="103.29"/>
    <n v="148"/>
    <s v="NÃO LOCALIZADO"/>
    <s v="TELEFONES SEM ATENDIMENTO"/>
    <n v="3"/>
    <x v="4"/>
    <s v="16.41"/>
    <s v="gleise"/>
    <s v="91 a 180"/>
    <s v="ACIONAMENTO"/>
    <x v="0"/>
  </r>
  <r>
    <s v="COGECOM"/>
    <n v="3002320000"/>
    <s v="AMANDA GOMES RODRIGUES"/>
    <s v="OUT"/>
    <s v="OUTROS"/>
    <n v="8304727625"/>
    <x v="0"/>
    <s v="172.64"/>
    <s v="73.46"/>
    <n v="148"/>
    <s v="NÃO LOCALIZADO"/>
    <s v="TELEFONES SEM ATENDIMENTO"/>
    <n v="3"/>
    <x v="4"/>
    <s v="16.45"/>
    <s v="gleise"/>
    <s v="91 a 180"/>
    <s v="ACIONAMENTO"/>
    <x v="0"/>
  </r>
  <r>
    <s v="COGECOM"/>
    <n v="3014483626"/>
    <s v="KARINA RIBEIRO LEITE"/>
    <s v="OUT"/>
    <s v="OUTROS"/>
    <n v="4693570613"/>
    <x v="0"/>
    <s v="47.52"/>
    <s v="23.77"/>
    <n v="145"/>
    <m/>
    <s v="SOLICITAR EXTINÇÃO DA AÇÃO"/>
    <n v="9999"/>
    <x v="4"/>
    <s v="15.26"/>
    <s v="anakeppe"/>
    <s v="91 a 180"/>
    <s v="ACIONAMENTO"/>
    <x v="4"/>
  </r>
  <r>
    <s v="COGECOM"/>
    <n v="3081650363"/>
    <s v="IRIOVALDO SGORLA"/>
    <s v="OUT"/>
    <s v="OUTROS"/>
    <n v="50740431072"/>
    <x v="0"/>
    <s v="374.10"/>
    <s v="374.10"/>
    <n v="90"/>
    <s v="NÃO LOCALIZADO"/>
    <s v="TELEFONES SEM ATENDIMENTO"/>
    <n v="3"/>
    <x v="4"/>
    <s v="14.02"/>
    <s v="gleise"/>
    <s v="61 a 90"/>
    <s v="ACIONAMENTO"/>
    <x v="0"/>
  </r>
  <r>
    <s v="COGECOM"/>
    <n v="3093323638"/>
    <s v="MARINA BRAZEIRO GONÇALVES LEMOS"/>
    <s v="OUT"/>
    <s v="OUTROS"/>
    <n v="2181318018"/>
    <x v="0"/>
    <s v="577.54"/>
    <s v="577.54"/>
    <n v="90"/>
    <s v="NÃO LOCALIZADO"/>
    <s v="TELEFONES SEM ATENDIMENTO"/>
    <n v="3"/>
    <x v="4"/>
    <s v="16.58"/>
    <s v="gleise"/>
    <s v="61 a 90"/>
    <s v="ACIONAMENTO"/>
    <x v="0"/>
  </r>
  <r>
    <s v="COGECOM"/>
    <n v="3010120"/>
    <s v="CLAUDINEIA DA SILVA SANTOS"/>
    <s v="OUT"/>
    <s v="OUTROS"/>
    <n v="97799998920"/>
    <x v="0"/>
    <s v="821.58"/>
    <s v="290.89"/>
    <n v="92"/>
    <s v="NÃO LOCALIZADO"/>
    <s v="TELEFONES SEM ATENDIMENTO"/>
    <n v="3"/>
    <x v="4"/>
    <s v="15.12"/>
    <s v="gleise"/>
    <s v="91 a 180"/>
    <s v="ACIONAMENTO"/>
    <x v="0"/>
  </r>
  <r>
    <s v="COGECOM"/>
    <n v="3609774"/>
    <s v="DOMITILIA CARVALHO WERNER"/>
    <s v="OUT"/>
    <s v="OUTROS"/>
    <n v="43408966915"/>
    <x v="0"/>
    <s v="192.26"/>
    <s v="192.26"/>
    <n v="99"/>
    <s v="AG RESPOSTA 1º CONTATO"/>
    <s v="ENVIADO MSG/E-MAIL 1º CONTATO"/>
    <n v="3"/>
    <x v="4"/>
    <s v="17.03"/>
    <s v="l.quadros"/>
    <s v="91 a 180"/>
    <s v="ACIONAMENTO"/>
    <x v="4"/>
  </r>
  <r>
    <s v="COGECOM"/>
    <n v="3010123721"/>
    <s v="MARIA APARECIDA CARDOSO GUALBERTO"/>
    <s v="OUT"/>
    <s v="OUTROS"/>
    <n v="63536404634"/>
    <x v="0"/>
    <s v="469.49"/>
    <s v="156.74"/>
    <n v="101"/>
    <s v="NÃO LOCALIZADO"/>
    <s v="TELEFONES SEM ATENDIMENTO"/>
    <n v="3"/>
    <x v="4"/>
    <s v="14.30"/>
    <s v="gleise"/>
    <s v="91 a 180"/>
    <s v="ACIONAMENTO"/>
    <x v="0"/>
  </r>
  <r>
    <s v="COGECOM"/>
    <n v="85510513"/>
    <s v="CANAÃ INDÚSTRIA MOVELEIRA LTDA"/>
    <s v="OUT"/>
    <s v="OUTROS"/>
    <n v="4672963000192"/>
    <x v="0"/>
    <s v="1022.12"/>
    <s v="396.92"/>
    <n v="126"/>
    <s v="NÃO LOCALIZADO"/>
    <s v="TELEFONES SEM ATENDIMENTO"/>
    <n v="3"/>
    <x v="4"/>
    <s v="13.10"/>
    <s v="gleise"/>
    <s v="91 a 180"/>
    <s v="ACIONAMENTO"/>
    <x v="0"/>
  </r>
  <r>
    <s v="COGECOM"/>
    <n v="3004049151"/>
    <s v="RICARDO MEDEIROS BARROS"/>
    <s v="OUT"/>
    <s v="OUTROS"/>
    <n v="48101460659"/>
    <x v="0"/>
    <s v="331.67"/>
    <s v="96.36"/>
    <n v="127"/>
    <s v="NÃO LOCALIZADO"/>
    <s v="TELEFONES SEM ATENDIMENTO"/>
    <n v="3"/>
    <x v="4"/>
    <s v="15.43"/>
    <s v="gleise"/>
    <s v="91 a 180"/>
    <s v="ACIONAMENTO"/>
    <x v="0"/>
  </r>
  <r>
    <s v="COGECOM"/>
    <n v="1990127001"/>
    <s v="HELSON JOSE DE OLIVEIRA"/>
    <s v="OUT"/>
    <s v="OUTROS"/>
    <n v="5416817100"/>
    <x v="0"/>
    <s v="14386.78"/>
    <s v="2970.62"/>
    <n v="275"/>
    <s v="AG RESPOSTA 1º CONTATO"/>
    <s v="ENVIADO MSG/E-MAIL 1º CONTATO"/>
    <n v="3"/>
    <x v="4"/>
    <s v="10.37"/>
    <s v="l.quadros"/>
    <s v="181 a 360"/>
    <s v="ACIONAMENTO"/>
    <x v="4"/>
  </r>
  <r>
    <s v="COGECOM"/>
    <n v="3085690883"/>
    <s v="ALINE SUELEN FONTOURA DE SOUZA"/>
    <s v="OUT"/>
    <s v="OUTROS"/>
    <n v="2192723016"/>
    <x v="0"/>
    <s v="897.71"/>
    <s v="897.71"/>
    <n v="278"/>
    <s v="NÃO LOCALIZADO"/>
    <s v="TELEFONES SEM ATENDIMENTO"/>
    <n v="3"/>
    <x v="4"/>
    <s v="10.56"/>
    <s v="gleise"/>
    <s v="181 a 360"/>
    <s v="ACIONAMENTO"/>
    <x v="0"/>
  </r>
  <r>
    <s v="COGECOM"/>
    <n v="3012265737"/>
    <s v="PAULO WACEMBERG DOS SANTOS"/>
    <s v="OUT"/>
    <s v="OUTROS"/>
    <n v="5071826690"/>
    <x v="0"/>
    <s v="300.50"/>
    <s v="92.87"/>
    <n v="144"/>
    <s v="AG RESPOSTA 1º CONTATO"/>
    <s v="ENVIADO MSG/E-MAIL 1º CONTATO"/>
    <n v="3"/>
    <x v="4"/>
    <s v="15.00"/>
    <s v="l.quadros"/>
    <s v="91 a 180"/>
    <s v="ACIONAMENTO"/>
    <x v="4"/>
  </r>
  <r>
    <s v="COGECOM"/>
    <n v="44121093"/>
    <s v="SUPER CONTENTO SUPERMERCARDO LTDA"/>
    <s v="OUT"/>
    <s v="OUTROS"/>
    <n v="22258215000140"/>
    <x v="0"/>
    <s v="8768.20"/>
    <s v="1719.07"/>
    <n v="162"/>
    <s v="NÃO LOCALIZADO"/>
    <s v="TELEFONES SEM ATENDIMENTO"/>
    <n v="3"/>
    <x v="4"/>
    <s v="10.55"/>
    <s v="gleise"/>
    <s v="91 a 180"/>
    <s v="ACIONAMENTO"/>
    <x v="0"/>
  </r>
  <r>
    <s v="COGECOM"/>
    <n v="46641418"/>
    <s v="GABRIEL HENRIQUE SCHMIDT"/>
    <s v="OUT"/>
    <s v="OUTROS"/>
    <n v="37220751000123"/>
    <x v="0"/>
    <s v="521.02"/>
    <s v="521.02"/>
    <n v="160"/>
    <s v="NÃO LOCALIZADO"/>
    <s v="TELEFONES SEM ATENDIMENTO"/>
    <n v="3"/>
    <x v="4"/>
    <s v="16.31"/>
    <s v="gleise"/>
    <s v="91 a 180"/>
    <s v="ACIONAMENTO"/>
    <x v="0"/>
  </r>
  <r>
    <s v="COGECOM"/>
    <n v="91873819"/>
    <s v="FABIO JOSE CERON BRANCO"/>
    <s v="OUT"/>
    <s v="OUTROS"/>
    <n v="21717594883"/>
    <x v="0"/>
    <s v="1190.10"/>
    <s v="1190.10"/>
    <n v="157"/>
    <s v="NÃO LOCALIZADO"/>
    <s v="TELEFONES SEM ATENDIMENTO"/>
    <n v="3"/>
    <x v="4"/>
    <s v="13.30"/>
    <s v="gleise"/>
    <s v="91 a 180"/>
    <s v="ACIONAMENTO"/>
    <x v="0"/>
  </r>
  <r>
    <s v="COGECOM"/>
    <n v="80447856"/>
    <s v="EURO BISTRO COMÉRCIO DE BEBIDAS LTDA"/>
    <s v="OUT"/>
    <s v="OUTROS"/>
    <n v="32804771000128"/>
    <x v="0"/>
    <s v="1576.90"/>
    <s v="1576.90"/>
    <n v="136"/>
    <s v="SEM INTERESSE"/>
    <s v="ESTORNO"/>
    <n v="4"/>
    <x v="4"/>
    <s v="9.25"/>
    <s v="luciano"/>
    <s v="91 a 180"/>
    <s v="ACIONAMENTO"/>
    <x v="1"/>
  </r>
  <r>
    <s v="COGECOM"/>
    <n v="10029240504"/>
    <s v="ANAMIR TELES DA SILVA"/>
    <s v="OUT"/>
    <s v="OUTROS"/>
    <n v="88453979120"/>
    <x v="0"/>
    <s v="215.33"/>
    <s v="94.40"/>
    <n v="121"/>
    <s v="SEM INTERESSE"/>
    <s v="NEGOCIAÇÃO VIA TELEFONE"/>
    <n v="3"/>
    <x v="4"/>
    <s v="13.39"/>
    <s v="gleise"/>
    <s v="91 a 180"/>
    <s v="CPC"/>
    <x v="1"/>
  </r>
  <r>
    <s v="COGECOM"/>
    <n v="3001212631"/>
    <s v="JULIANA DE ANDRADE BRACO M. SOUZA"/>
    <s v="OUT"/>
    <s v="OUTROS"/>
    <n v="4168808602"/>
    <x v="0"/>
    <s v="771.71"/>
    <s v="308.69"/>
    <n v="148"/>
    <s v="NÃO LOCALIZADO"/>
    <s v="TELEFONES SEM ATENDIMENTO"/>
    <n v="3"/>
    <x v="4"/>
    <s v="15.46"/>
    <s v="gleise"/>
    <s v="91 a 180"/>
    <s v="ACIONAMENTO"/>
    <x v="0"/>
  </r>
  <r>
    <s v="COGECOM"/>
    <n v="3082048349"/>
    <s v="CARLA FRANCIELE MALINSKI"/>
    <s v="OUT"/>
    <s v="OUTROS"/>
    <n v="5372241900"/>
    <x v="0"/>
    <s v="6014.22"/>
    <s v="2111.61"/>
    <n v="147"/>
    <s v="NÃO LOCALIZADO"/>
    <s v="TELEFONES SEM ATENDIMENTO"/>
    <n v="3"/>
    <x v="4"/>
    <s v="14.02"/>
    <s v="gleise"/>
    <s v="91 a 180"/>
    <s v="ACIONAMENTO"/>
    <x v="0"/>
  </r>
  <r>
    <s v="COGECOM"/>
    <n v="10005670797"/>
    <s v="RICARDO BORGES FONSECA"/>
    <s v="OUT"/>
    <s v="OUTROS"/>
    <n v="71249680115"/>
    <x v="0"/>
    <s v="335.98"/>
    <s v="95.83"/>
    <n v="141"/>
    <m/>
    <s v="SOLICITAR EXTINÇÃO DA AÇÃO"/>
    <n v="9999"/>
    <x v="4"/>
    <s v="13.43"/>
    <s v="anakeppe"/>
    <s v="91 a 180"/>
    <s v="ACIONAMENTO"/>
    <x v="4"/>
  </r>
  <r>
    <s v="COGECOM"/>
    <n v="4002349708"/>
    <s v="ALINE FONSECA RIBEIRO"/>
    <s v="OUT"/>
    <s v="OUTROS"/>
    <n v="1527415007"/>
    <x v="1"/>
    <s v="418.17"/>
    <s v="143.88"/>
    <n v="87"/>
    <s v="EM NEGOCIAÇÃO"/>
    <s v="GERAÇÃO DE ACORDO"/>
    <n v="21"/>
    <x v="4"/>
    <s v="10.43"/>
    <s v="gleise"/>
    <s v="61 a 90"/>
    <s v="CPC"/>
    <x v="2"/>
  </r>
  <r>
    <s v="COGECOM"/>
    <n v="3093265974"/>
    <s v="JANAINA BARBO ROSA"/>
    <s v="OUT"/>
    <s v="OUTROS"/>
    <n v="127712011"/>
    <x v="0"/>
    <s v="628.33"/>
    <s v="159.25"/>
    <n v="118"/>
    <s v="NÃO LOCALIZADO"/>
    <s v="TELEFONES SEM ATENDIMENTO"/>
    <n v="3"/>
    <x v="4"/>
    <s v="10.35"/>
    <s v="gleise"/>
    <s v="91 a 180"/>
    <s v="ACIONAMENTO"/>
    <x v="0"/>
  </r>
  <r>
    <s v="COGECOM"/>
    <n v="4003150613"/>
    <s v="FABRICIO RODRIGUES APPEZZATO"/>
    <s v="OUT"/>
    <s v="OUTROS"/>
    <n v="9862332697"/>
    <x v="0"/>
    <s v="806.11"/>
    <s v="558.45"/>
    <n v="134"/>
    <s v="NÃO LOCALIZADO"/>
    <s v="TELEFONES SEM ATENDIMENTO"/>
    <n v="3"/>
    <x v="4"/>
    <s v="13.43"/>
    <s v="gleise"/>
    <s v="91 a 180"/>
    <s v="ACIONAMENTO"/>
    <x v="0"/>
  </r>
  <r>
    <s v="COGECOM"/>
    <n v="10034927229"/>
    <s v="ADRIANA SILVA PRADO"/>
    <s v="OUT"/>
    <s v="OUTROS"/>
    <n v="70166650110"/>
    <x v="0"/>
    <s v="209.18"/>
    <s v="209.18"/>
    <n v="88"/>
    <m/>
    <s v="SOLICITAR EXTINÇÃO DA AÇÃO"/>
    <n v="9999"/>
    <x v="4"/>
    <s v="13.34"/>
    <s v="anakeppe"/>
    <s v="61 a 90"/>
    <s v="ACIONAMENTO"/>
    <x v="4"/>
  </r>
  <r>
    <s v="COGECOM"/>
    <n v="90107020"/>
    <s v="ROSIKLEIA GOMES DO PRADO"/>
    <s v="OUT"/>
    <s v="OUTROS"/>
    <n v="4968128908"/>
    <x v="0"/>
    <s v="1888.14"/>
    <s v="424.87"/>
    <n v="136"/>
    <s v="NÃO LOCALIZADO"/>
    <s v="TELEFONES SEM ATENDIMENTO"/>
    <n v="3"/>
    <x v="4"/>
    <s v="11.43"/>
    <s v="gleise"/>
    <s v="91 a 180"/>
    <s v="ACIONAMENTO"/>
    <x v="0"/>
  </r>
  <r>
    <s v="COGECOM"/>
    <n v="67916775"/>
    <s v="ARNOBE LEMES DOS REIS"/>
    <s v="OUT"/>
    <s v="OUTROS"/>
    <n v="81510187987"/>
    <x v="0"/>
    <s v="1377.98"/>
    <s v="478.73"/>
    <n v="135"/>
    <s v="NÃO LOCALIZADO"/>
    <s v="TELEFONES SEM ATENDIMENTO"/>
    <n v="3"/>
    <x v="4"/>
    <s v="16.15"/>
    <s v="gleise"/>
    <s v="91 a 180"/>
    <s v="ACIONAMENTO"/>
    <x v="0"/>
  </r>
  <r>
    <s v="COGECOM"/>
    <n v="75380404"/>
    <s v="DHENY NICOLAS DE ALMEIDA FIRMINO"/>
    <s v="OUT"/>
    <s v="OUTROS"/>
    <n v="11196129932"/>
    <x v="0"/>
    <s v="906.98"/>
    <s v="906.98"/>
    <n v="121"/>
    <s v="NÃO LOCALIZADO"/>
    <s v="TELEFONES SEM ATENDIMENTO"/>
    <n v="3"/>
    <x v="4"/>
    <s v="11.25"/>
    <s v="gleise"/>
    <s v="91 a 180"/>
    <s v="ACIONAMENTO"/>
    <x v="0"/>
  </r>
  <r>
    <s v="COGECOM"/>
    <n v="96205989"/>
    <s v="ALEXSANDER JASKIW MATOZO"/>
    <s v="OUT"/>
    <s v="OUTROS"/>
    <n v="499265947"/>
    <x v="0"/>
    <s v="284.39"/>
    <s v="272.87"/>
    <n v="76"/>
    <s v="NÃO LOCALIZADO"/>
    <s v="TELEFONES SEM ATENDIMENTO"/>
    <n v="3"/>
    <x v="4"/>
    <s v="16.08"/>
    <s v="gleise"/>
    <s v="61 a 90"/>
    <s v="ACIONAMENTO"/>
    <x v="0"/>
  </r>
  <r>
    <s v="COGECOM"/>
    <n v="81205562"/>
    <s v="ANDRE LUIZ FIGUEIREDO ZANETTE"/>
    <s v="OUT"/>
    <s v="OUTROS"/>
    <n v="2780251964"/>
    <x v="0"/>
    <s v="28.48"/>
    <s v="28.48"/>
    <n v="76"/>
    <m/>
    <s v="SOLICITAR EXTINÇÃO DA AÇÃO"/>
    <n v="9999"/>
    <x v="4"/>
    <s v="16.13"/>
    <s v="anakeppe"/>
    <s v="61 a 90"/>
    <s v="ACIONAMENTO"/>
    <x v="4"/>
  </r>
  <r>
    <s v="COGECOM"/>
    <n v="50750671"/>
    <s v="CONDOMÍNIO RESIDENCIAL VITTA CLUB"/>
    <s v="OUT"/>
    <s v="OUTROS"/>
    <n v="30119585000124"/>
    <x v="0"/>
    <s v="166.53"/>
    <s v="166.53"/>
    <n v="76"/>
    <s v="AG RESPOSTA 1º CONTATO"/>
    <s v="ENVIADO MSG/E-MAIL 1º CONTATO"/>
    <n v="3"/>
    <x v="4"/>
    <s v="9.46"/>
    <s v="l.quadros"/>
    <s v="61 a 90"/>
    <s v="ACIONAMENTO"/>
    <x v="4"/>
  </r>
  <r>
    <s v="COGECOM"/>
    <n v="104300507"/>
    <s v="CONSTRUTORA WASAKI LTDA"/>
    <s v="OUT"/>
    <s v="OUTROS"/>
    <n v="12088793000121"/>
    <x v="0"/>
    <s v="2347.03"/>
    <s v="2347.03"/>
    <n v="74"/>
    <s v="SEM INTERESSE"/>
    <s v="SOLICITAR EXTINÇÃO DA AÇÃO"/>
    <n v="11"/>
    <x v="4"/>
    <s v="15.58"/>
    <s v="anakeppe"/>
    <s v="61 a 90"/>
    <s v="ACIONAMENTO"/>
    <x v="1"/>
  </r>
  <r>
    <s v="COGECOM"/>
    <n v="82079218"/>
    <s v="DARINA COMONIAN PRADO"/>
    <s v="OUT"/>
    <s v="OUTROS"/>
    <n v="624367240"/>
    <x v="0"/>
    <s v="207.17"/>
    <s v="23.26"/>
    <n v="76"/>
    <s v="NÃO LOCALIZADO"/>
    <s v="TELEFONES SEM ATENDIMENTO"/>
    <n v="3"/>
    <x v="4"/>
    <s v="11.24"/>
    <s v="gleise"/>
    <s v="61 a 90"/>
    <s v="ACIONAMENTO"/>
    <x v="0"/>
  </r>
  <r>
    <s v="COGECOM"/>
    <n v="10033031019"/>
    <s v="DAVID OLIVEIRA SOUSA GRANGEIRO"/>
    <s v="OUT"/>
    <s v="OUTROS"/>
    <n v="5509698101"/>
    <x v="0"/>
    <s v="107.42"/>
    <s v="32.74"/>
    <n v="76"/>
    <s v="NÃO LOCALIZADO"/>
    <s v="TELEFONES SEM ATENDIMENTO"/>
    <n v="3"/>
    <x v="4"/>
    <s v="13.35"/>
    <s v="gleise"/>
    <s v="61 a 90"/>
    <s v="ACIONAMENTO"/>
    <x v="0"/>
  </r>
  <r>
    <s v="COGECOM"/>
    <n v="47302283"/>
    <s v="FELIPE TEIXEIRA DE ALMEIDA E SILVA"/>
    <s v="OUT"/>
    <s v="OUTROS"/>
    <n v="6410114907"/>
    <x v="0"/>
    <s v="71.76"/>
    <s v="71.76"/>
    <n v="76"/>
    <s v="NÃO LOCALIZADO"/>
    <s v="TELEFONES SEM ATENDIMENTO"/>
    <n v="3"/>
    <x v="4"/>
    <s v="11.39"/>
    <s v="gleise"/>
    <s v="61 a 90"/>
    <s v="ACIONAMENTO"/>
    <x v="0"/>
  </r>
  <r>
    <s v="COGECOM"/>
    <n v="57133740"/>
    <s v="FERNANDO TONELLI"/>
    <s v="OUT"/>
    <s v="OUTROS"/>
    <n v="377669962"/>
    <x v="0"/>
    <s v="237.12"/>
    <s v="237.12"/>
    <n v="71"/>
    <m/>
    <s v="SOLICITAR EXTINÇÃO DA AÇÃO"/>
    <n v="9999"/>
    <x v="4"/>
    <s v="16.16"/>
    <s v="anakeppe"/>
    <s v="61 a 90"/>
    <s v="ACIONAMENTO"/>
    <x v="4"/>
  </r>
  <r>
    <s v="COGECOM"/>
    <n v="54801572"/>
    <s v="JOEL JOSE FERREIRA DOS SANTOS JUNIOR"/>
    <s v="OUT"/>
    <s v="OUTROS"/>
    <n v="8298433963"/>
    <x v="0"/>
    <s v="187.48"/>
    <s v="97.60"/>
    <n v="76"/>
    <m/>
    <s v="SOLICITAR EXTINÇÃO DA AÇÃO"/>
    <n v="9999"/>
    <x v="4"/>
    <s v="16.22"/>
    <s v="anakeppe"/>
    <s v="61 a 90"/>
    <s v="ACIONAMENTO"/>
    <x v="4"/>
  </r>
  <r>
    <s v="COGECOM"/>
    <n v="10007068199"/>
    <s v="KELMA RENATA DE SOUSA CARLOS POTENCIANO"/>
    <s v="OUT"/>
    <s v="OUTROS"/>
    <n v="49761196100"/>
    <x v="0"/>
    <s v="118.95"/>
    <s v="118.95"/>
    <n v="73"/>
    <m/>
    <s v="SOLICITAR EXTINÇÃO DA AÇÃO"/>
    <n v="9999"/>
    <x v="4"/>
    <s v="13.41"/>
    <s v="anakeppe"/>
    <s v="61 a 90"/>
    <s v="ACIONAMENTO"/>
    <x v="4"/>
  </r>
  <r>
    <s v="COGECOM"/>
    <n v="55122482"/>
    <s v="MITCHELL ALEX DA SILVA"/>
    <s v="OUT"/>
    <s v="OUTROS"/>
    <n v="45667584867"/>
    <x v="0"/>
    <s v="185.28"/>
    <s v="185.28"/>
    <n v="71"/>
    <m/>
    <s v="SOLICITAR EXTINÇÃO DA AÇÃO"/>
    <n v="9999"/>
    <x v="4"/>
    <s v="16.21"/>
    <s v="anakeppe"/>
    <s v="61 a 90"/>
    <s v="ACIONAMENTO"/>
    <x v="4"/>
  </r>
  <r>
    <s v="COGECOM"/>
    <n v="3010266063"/>
    <s v="MONICA SCAPOLATEMPORE"/>
    <s v="OUT"/>
    <s v="OUTROS"/>
    <n v="55553974615"/>
    <x v="0"/>
    <s v="112.88"/>
    <s v="52.13"/>
    <n v="70"/>
    <m/>
    <s v="SOLICITAR EXTINÇÃO DA AÇÃO"/>
    <n v="9999"/>
    <x v="4"/>
    <s v="15.39"/>
    <s v="anakeppe"/>
    <s v="61 a 90"/>
    <s v="ACIONAMENTO"/>
    <x v="4"/>
  </r>
  <r>
    <s v="COGECOM"/>
    <n v="28552245"/>
    <s v="PIZZARIA ATOLINNI LTDA"/>
    <s v="OUT"/>
    <s v="OUTROS"/>
    <n v="97487078000114"/>
    <x v="1"/>
    <s v="0.00"/>
    <s v="1274.49"/>
    <n v="74"/>
    <s v="AG RESPOSTA 1º CONTATO"/>
    <s v="ENVIADO MSG/E-MAIL 1º CONTATO"/>
    <n v="3"/>
    <x v="4"/>
    <s v="15.12"/>
    <s v="l.quadros"/>
    <s v="61 a 90"/>
    <s v="ACIONAMENTO"/>
    <x v="4"/>
  </r>
  <r>
    <s v="COGECOM"/>
    <n v="60077815"/>
    <s v="TIAGO CORDEIRO DE MORAIS"/>
    <s v="OUT"/>
    <s v="OUTROS"/>
    <n v="843754184"/>
    <x v="0"/>
    <s v="147.38"/>
    <s v="147.38"/>
    <n v="77"/>
    <m/>
    <s v="SOLICITAR EXTINÇÃO DA AÇÃO"/>
    <n v="9999"/>
    <x v="4"/>
    <s v="16.16"/>
    <s v="anakeppe"/>
    <s v="61 a 90"/>
    <s v="ACIONAMENTO"/>
    <x v="4"/>
  </r>
  <r>
    <s v="COGECOM"/>
    <n v="21881392"/>
    <s v="TANIA MARIA TENTE DE OLIVEIRA"/>
    <s v="OUT"/>
    <s v="OUTROS"/>
    <n v="6513364906"/>
    <x v="0"/>
    <s v="1771.82"/>
    <s v="1771.82"/>
    <n v="67"/>
    <s v="SEM INTERESSE"/>
    <s v="NEGOCIAÇÃO VIA TELEFONE"/>
    <n v="3"/>
    <x v="4"/>
    <s v="9.27"/>
    <s v="anakeppe"/>
    <s v="61 a 90"/>
    <s v="CPC"/>
    <x v="1"/>
  </r>
  <r>
    <s v="COGECOM"/>
    <n v="4830224072"/>
    <s v="SANDRO JEVERSON PIRES MARTINS"/>
    <s v="OUT"/>
    <s v="OUTROS"/>
    <n v="81001770072"/>
    <x v="0"/>
    <s v="111.03"/>
    <s v="111.03"/>
    <n v="66"/>
    <m/>
    <s v="SOLICITAR EXTINÇÃO DA AÇÃO"/>
    <n v="9999"/>
    <x v="4"/>
    <s v="13.42"/>
    <s v="anakeppe"/>
    <s v="61 a 90"/>
    <s v="ACIONAMENTO"/>
    <x v="4"/>
  </r>
  <r>
    <s v="COGECOM"/>
    <n v="10026008040"/>
    <s v="EDINAN FERREIRA ARAGÃO"/>
    <s v="OUT"/>
    <s v="OUTROS"/>
    <n v="1831952564"/>
    <x v="0"/>
    <s v="145.39"/>
    <s v="88.55"/>
    <n v="66"/>
    <s v="NÃO LOCALIZADO"/>
    <s v="TELEFONES SEM ATENDIMENTO"/>
    <n v="3"/>
    <x v="4"/>
    <s v="11.18"/>
    <s v="gleise"/>
    <s v="61 a 90"/>
    <s v="ACIONAMENTO"/>
    <x v="0"/>
  </r>
  <r>
    <s v="COGECOM"/>
    <n v="10034302628"/>
    <s v="LUCIANO HENRIQUE MESQUITA"/>
    <s v="OUT"/>
    <s v="OUTROS"/>
    <n v="4964362108"/>
    <x v="0"/>
    <s v="110.37"/>
    <s v="110.37"/>
    <n v="58"/>
    <s v="NÃO LOCALIZADO"/>
    <s v="TELEFONES SEM ATENDIMENTO"/>
    <n v="3"/>
    <x v="4"/>
    <s v="13.34"/>
    <s v="gleise"/>
    <s v="31 a 60"/>
    <s v="ACIONAMENTO"/>
    <x v="0"/>
  </r>
  <r>
    <s v="COGECOM"/>
    <n v="107060728"/>
    <s v="CLODOMIRO DE OLIVEIRA"/>
    <s v="OUT"/>
    <s v="OUTROS"/>
    <n v="1579461930"/>
    <x v="0"/>
    <s v="99.48"/>
    <s v="99.48"/>
    <n v="54"/>
    <m/>
    <s v="SOLICITAR EXTINÇÃO DA AÇÃO"/>
    <n v="9999"/>
    <x v="4"/>
    <s v="15.56"/>
    <s v="anakeppe"/>
    <s v="31 a 60"/>
    <s v="ACIONAMENTO"/>
    <x v="4"/>
  </r>
  <r>
    <s v="COGECOM"/>
    <n v="30600839"/>
    <s v="ADILSON GERALDO BUCCIOLI"/>
    <s v="OUT"/>
    <s v="OUTROS"/>
    <n v="50673750949"/>
    <x v="0"/>
    <s v="96.16"/>
    <s v="96.16"/>
    <n v="54"/>
    <s v="SEM INTERESSE"/>
    <s v="NEGOCIAÇÃO VIA TELEFONE"/>
    <n v="3"/>
    <x v="4"/>
    <s v="11.32"/>
    <s v="anakeppe"/>
    <s v="31 a 60"/>
    <s v="CPC"/>
    <x v="1"/>
  </r>
  <r>
    <s v="COGECOM"/>
    <n v="90364384"/>
    <s v="ANDREIA MIOTO"/>
    <s v="OUT"/>
    <s v="OUTROS"/>
    <n v="3534966937"/>
    <x v="0"/>
    <s v="690.33"/>
    <s v="690.33"/>
    <n v="62"/>
    <m/>
    <s v="SOLICITAR EXTINÇÃO DA AÇÃO"/>
    <n v="9999"/>
    <x v="4"/>
    <s v="16.08"/>
    <s v="anakeppe"/>
    <s v="61 a 90"/>
    <s v="ACIONAMENTO"/>
    <x v="4"/>
  </r>
  <r>
    <s v="COGECOM"/>
    <n v="105074217"/>
    <s v="OMICS BIOATIVADORES LTDA"/>
    <s v="OUT"/>
    <s v="OUTROS"/>
    <n v="40261501000146"/>
    <x v="0"/>
    <s v="418.86"/>
    <s v="418.86"/>
    <n v="49"/>
    <s v="NÃO LOCALIZADO"/>
    <s v="TELEFONES SEM ATENDIMENTO"/>
    <n v="3"/>
    <x v="4"/>
    <s v="15.59"/>
    <s v="gleise"/>
    <s v="31 a 60"/>
    <s v="ACIONAMENTO"/>
    <x v="0"/>
  </r>
  <r>
    <s v="COGECOM"/>
    <n v="100719481"/>
    <s v="RAFAELLA PRYCY BARBOSA SOUSA"/>
    <s v="OUT"/>
    <s v="OUTROS"/>
    <n v="80201253291"/>
    <x v="0"/>
    <s v="181.05"/>
    <s v="181.05"/>
    <n v="49"/>
    <s v="NÃO LOCALIZADO"/>
    <s v="TELEFONES SEM ATENDIMENTO"/>
    <n v="3"/>
    <x v="4"/>
    <s v="16.03"/>
    <s v="gleise"/>
    <s v="31 a 60"/>
    <s v="ACIONAMENTO"/>
    <x v="0"/>
  </r>
  <r>
    <s v="COGECOM"/>
    <n v="103864890"/>
    <s v="DEBORA BUZZI"/>
    <s v="OUT"/>
    <s v="OUTROS"/>
    <n v="4435106957"/>
    <x v="0"/>
    <s v="354.89"/>
    <s v="354.89"/>
    <n v="52"/>
    <s v="NÃO LOCALIZADO"/>
    <s v="SOLICITAR EXTINÇÃO DA AÇÃO"/>
    <n v="6"/>
    <x v="4"/>
    <s v="15.58"/>
    <s v="anakeppe"/>
    <s v="31 a 60"/>
    <s v="ACIONAMENTO"/>
    <x v="0"/>
  </r>
  <r>
    <s v="COGECOM"/>
    <n v="105923915"/>
    <s v="LUANA ALVES RIBEIRO"/>
    <s v="OUT"/>
    <s v="OUTROS"/>
    <n v="5886388974"/>
    <x v="0"/>
    <s v="58.56"/>
    <s v="58.56"/>
    <n v="49"/>
    <s v="AG RESPOSTA 1º CONTATO"/>
    <s v="ENVIADO MSG/E-MAIL 1º CONTATO"/>
    <n v="3"/>
    <x v="4"/>
    <s v="10.33"/>
    <s v="l.quadros"/>
    <s v="31 a 60"/>
    <s v="ACIONAMENTO"/>
    <x v="4"/>
  </r>
  <r>
    <s v="COGECOM"/>
    <n v="101526148"/>
    <s v="RODRIGO PEDROSO DE OLIVEIRA"/>
    <s v="OUT"/>
    <s v="OUTROS"/>
    <n v="10857611933"/>
    <x v="0"/>
    <s v="971.34"/>
    <s v="1118.31"/>
    <n v="75"/>
    <s v="EM NEGOCIAÇÃO"/>
    <s v="NEGOCIAÇÃO VIA WHATSAPP"/>
    <n v="3"/>
    <x v="4"/>
    <s v="11.21"/>
    <s v="l.quadros"/>
    <s v="61 a 90"/>
    <s v="CPC"/>
    <x v="2"/>
  </r>
  <r>
    <s v="COGECOM"/>
    <n v="52458873"/>
    <s v="MARILIZ HARTMANN"/>
    <s v="OUT"/>
    <s v="OUTROS"/>
    <n v="70101078900"/>
    <x v="0"/>
    <s v="894.64"/>
    <s v="894.64"/>
    <n v="201"/>
    <s v="NÃO LOCALIZADO"/>
    <s v="TELEFONES SEM ATENDIMENTO"/>
    <n v="3"/>
    <x v="4"/>
    <s v="16.25"/>
    <s v="gleise"/>
    <s v="181 a 360"/>
    <s v="ACIONAMENTO"/>
    <x v="0"/>
  </r>
  <r>
    <s v="COGECOM"/>
    <n v="3085473198"/>
    <s v="LUCIANO DALLEGRAVE"/>
    <s v="OUT"/>
    <s v="OUTROS"/>
    <n v="94060258091"/>
    <x v="0"/>
    <s v="167.22"/>
    <s v="167.22"/>
    <n v="46"/>
    <s v="NÃO LOCALIZADO"/>
    <s v="TELEFONES SEM ATENDIMENTO"/>
    <n v="3"/>
    <x v="4"/>
    <s v="13.59"/>
    <s v="gleise"/>
    <s v="31 a 60"/>
    <s v="ACIONAMENTO"/>
    <x v="0"/>
  </r>
  <r>
    <s v="COGECOM"/>
    <n v="4001717883"/>
    <s v="RESTAURANTE QUINTA ESTACAO LTDA"/>
    <s v="OUT"/>
    <s v="OUTROS"/>
    <n v="34267019000110"/>
    <x v="0"/>
    <s v="7813.56"/>
    <s v="7813.56"/>
    <n v="41"/>
    <s v="NÃO LOCALIZADO"/>
    <s v="TELEFONES SEM ATENDIMENTO"/>
    <n v="3"/>
    <x v="4"/>
    <s v="13.47"/>
    <s v="gleise"/>
    <s v="31 a 60"/>
    <s v="ACIONAMENTO"/>
    <x v="0"/>
  </r>
  <r>
    <s v="COGECOM"/>
    <n v="3090226395"/>
    <s v="CLAUBER MOURA ESPINOSA"/>
    <s v="OUT"/>
    <s v="OUTROS"/>
    <n v="60073314072"/>
    <x v="0"/>
    <s v="549.38"/>
    <s v="549.38"/>
    <n v="39"/>
    <s v="NÃO LOCALIZADO"/>
    <s v="TELEFONES SEM ATENDIMENTO"/>
    <n v="3"/>
    <x v="4"/>
    <s v="13.57"/>
    <s v="gleise"/>
    <s v="31 a 60"/>
    <s v="ACIONAMENTO"/>
    <x v="0"/>
  </r>
  <r>
    <s v="COGECOM"/>
    <n v="3095409023"/>
    <s v="ENIO EMANOEL ALVES DOS SANTOS"/>
    <s v="OUT"/>
    <s v="OUTROS"/>
    <n v="11808028708"/>
    <x v="0"/>
    <s v="65.60"/>
    <s v="65.60"/>
    <n v="43"/>
    <s v="NÃO LOCALIZADO"/>
    <s v="TELEFONES SEM ATENDIMENTO"/>
    <n v="3"/>
    <x v="4"/>
    <s v="13.51"/>
    <s v="gleise"/>
    <s v="31 a 60"/>
    <s v="ACIONAMENTO"/>
    <x v="0"/>
  </r>
  <r>
    <s v="COGECOM"/>
    <n v="49946058"/>
    <s v="RICARDO COLZANI"/>
    <s v="OUT"/>
    <s v="OUTROS"/>
    <n v="1458097145"/>
    <x v="0"/>
    <s v="126.57"/>
    <s v="126.57"/>
    <n v="39"/>
    <m/>
    <s v="ESTORNO"/>
    <n v="9999"/>
    <x v="4"/>
    <s v="9.24"/>
    <s v="luciano"/>
    <s v="31 a 60"/>
    <s v="ACIONAMENTO"/>
    <x v="4"/>
  </r>
  <r>
    <s v="COGECOM"/>
    <n v="101033672"/>
    <s v="BRUNO FRANTHIESCO DOS SANTOS"/>
    <s v="OUT"/>
    <s v="OUTROS"/>
    <n v="7044481906"/>
    <x v="1"/>
    <s v="0.00"/>
    <s v="59.96"/>
    <n v="41"/>
    <s v="NÃO LOCALIZADO"/>
    <s v="TELEFONES SEM ATENDIMENTO"/>
    <n v="3"/>
    <x v="4"/>
    <s v="16.06"/>
    <s v="gleise"/>
    <s v="31 a 60"/>
    <s v="ACIONAMENTO"/>
    <x v="0"/>
  </r>
  <r>
    <s v="COGECOM"/>
    <n v="104252030"/>
    <s v="GILMAR GAVAZZONI JUNIOR"/>
    <s v="OUT"/>
    <s v="OUTROS"/>
    <n v="4400078957"/>
    <x v="0"/>
    <s v="141.08"/>
    <s v="141.08"/>
    <n v="46"/>
    <m/>
    <s v="SOLICITAR EXTINÇÃO DA AÇÃO"/>
    <n v="9999"/>
    <x v="4"/>
    <s v="15.58"/>
    <s v="anakeppe"/>
    <s v="31 a 60"/>
    <s v="ACIONAMENTO"/>
    <x v="4"/>
  </r>
  <r>
    <s v="COGECOM"/>
    <n v="109200462"/>
    <s v="ALES BEER LTDA"/>
    <s v="OUT"/>
    <s v="OUTROS"/>
    <n v="42954720000136"/>
    <x v="0"/>
    <s v="1139.90"/>
    <s v="1139.90"/>
    <n v="44"/>
    <s v="NÃO LOCALIZADO"/>
    <s v="TELEFONES SEM ATENDIMENTO"/>
    <n v="3"/>
    <x v="4"/>
    <s v="10.33"/>
    <s v="gleise"/>
    <s v="31 a 60"/>
    <s v="ACIONAMENTO"/>
    <x v="0"/>
  </r>
  <r>
    <s v="COGECOM"/>
    <n v="3000580979"/>
    <s v="SERGIO RODRIGUES DOS SANTOS"/>
    <s v="OUT"/>
    <s v="OUTROS"/>
    <n v="62391640625"/>
    <x v="0"/>
    <s v="62.26"/>
    <s v="62.26"/>
    <n v="42"/>
    <m/>
    <s v="ENVIADO MSG/E-MAIL 1º CONTATO"/>
    <n v="3"/>
    <x v="4"/>
    <s v="15.50"/>
    <s v="l.quadros"/>
    <s v="31 a 60"/>
    <s v="ACIONAMENTO"/>
    <x v="4"/>
  </r>
  <r>
    <s v="COGECOM"/>
    <n v="3014354136"/>
    <s v="FELIPE GOUVEIA RESENDE"/>
    <s v="OUT"/>
    <s v="OUTROS"/>
    <n v="7701151605"/>
    <x v="0"/>
    <s v="226.40"/>
    <s v="226.40"/>
    <n v="39"/>
    <m/>
    <s v="SOLICITAR EXTINÇÃO DA AÇÃO"/>
    <n v="9999"/>
    <x v="4"/>
    <s v="15.27"/>
    <s v="anakeppe"/>
    <s v="31 a 60"/>
    <s v="ACIONAMENTO"/>
    <x v="4"/>
  </r>
  <r>
    <s v="COGECOM"/>
    <n v="3013360972"/>
    <s v="GEOVANE BARONI DIVINO"/>
    <s v="OUT"/>
    <s v="OUTROS"/>
    <n v="11294919601"/>
    <x v="0"/>
    <s v="104.97"/>
    <s v="104.97"/>
    <n v="42"/>
    <m/>
    <s v="SOLICITAR EXTINÇÃO DA AÇÃO"/>
    <n v="9999"/>
    <x v="4"/>
    <s v="15.28"/>
    <s v="anakeppe"/>
    <s v="31 a 60"/>
    <s v="ACIONAMENTO"/>
    <x v="4"/>
  </r>
  <r>
    <s v="COGECOM"/>
    <n v="3012162846"/>
    <s v="RODRIGO DA SILVA COSTA"/>
    <s v="OUT"/>
    <s v="OUTROS"/>
    <n v="1445763680"/>
    <x v="0"/>
    <s v="122.96"/>
    <s v="122.96"/>
    <n v="40"/>
    <m/>
    <s v="SOLICITAR EXTINÇÃO DA AÇÃO"/>
    <n v="9999"/>
    <x v="4"/>
    <s v="15.33"/>
    <s v="anakeppe"/>
    <s v="31 a 60"/>
    <s v="ACIONAMENTO"/>
    <x v="4"/>
  </r>
  <r>
    <s v="COGECOM"/>
    <n v="3000158871"/>
    <s v="MAURO SALIBA"/>
    <s v="OUT"/>
    <s v="OUTROS"/>
    <n v="96067055600"/>
    <x v="0"/>
    <s v="162.89"/>
    <s v="162.89"/>
    <n v="39"/>
    <s v="SEM INTERESSE"/>
    <s v="NEGOCIAÇÃO VIA TELEFONE"/>
    <n v="3"/>
    <x v="4"/>
    <s v="11.15"/>
    <s v="gleise"/>
    <s v="31 a 60"/>
    <s v="CPC"/>
    <x v="1"/>
  </r>
  <r>
    <s v="COGECOM"/>
    <n v="3095064210"/>
    <s v="S3 CONTABILIDADE LTDA"/>
    <s v="OUT"/>
    <s v="OUTROS"/>
    <n v="5072857000130"/>
    <x v="0"/>
    <s v="397.50"/>
    <s v="397.50"/>
    <n v="38"/>
    <s v="SEM INTERESSE"/>
    <s v="NEGOCIAÇÃO VIA TELEFONE"/>
    <n v="3"/>
    <x v="4"/>
    <s v="13.57"/>
    <s v="gleise"/>
    <s v="31 a 60"/>
    <s v="CPC"/>
    <x v="1"/>
  </r>
  <r>
    <s v="COGECOM"/>
    <n v="37141732"/>
    <s v="PAULO ROBERTO TISSOT"/>
    <s v="OUT"/>
    <s v="OUTROS"/>
    <n v="43429777968"/>
    <x v="0"/>
    <s v="6104.02"/>
    <s v="3066.22"/>
    <n v="1643"/>
    <s v="NÃO LOCALIZADO"/>
    <s v="TELEFONES SEM ATENDIMENTO"/>
    <n v="0"/>
    <x v="5"/>
    <s v="13.22"/>
    <s v="gleise"/>
    <s v="Acima de 361"/>
    <s v="ACIONAMENTO"/>
    <x v="0"/>
  </r>
  <r>
    <s v="COGECOM"/>
    <n v="101709641"/>
    <s v="DANIEL ABDO TANNOUS"/>
    <s v="OUT"/>
    <s v="OUTROS"/>
    <n v="539395900"/>
    <x v="0"/>
    <s v="85.02"/>
    <s v="85.02"/>
    <n v="947"/>
    <s v="EM NEGOCIAÇÃO"/>
    <s v="SOLICITAR EXTINÇÃO DA AÇÃO"/>
    <n v="9999"/>
    <x v="5"/>
    <s v="13.22"/>
    <s v="gleise"/>
    <s v="Acima de 361"/>
    <s v="ACIONAMENTO"/>
    <x v="2"/>
  </r>
  <r>
    <s v="COGECOM"/>
    <n v="49263660"/>
    <s v="LUCIANO ANDERSON SANTOS"/>
    <s v="OUT"/>
    <s v="OUTROS"/>
    <n v="2279563975"/>
    <x v="0"/>
    <s v="372.86"/>
    <s v="175.99"/>
    <n v="539"/>
    <s v="SEM INTERESSE"/>
    <s v="NEGOCIAÇÃO VIA TELEFONE"/>
    <n v="0"/>
    <x v="5"/>
    <s v="16.57"/>
    <s v="anakeppe"/>
    <s v="Acima de 361"/>
    <s v="CPC"/>
    <x v="1"/>
  </r>
  <r>
    <s v="COGECOM"/>
    <n v="87889560"/>
    <s v="JOSENALVA MARIA DE ARAUJO FERREIRA"/>
    <s v="OUT"/>
    <s v="OUTROS"/>
    <n v="3955588408"/>
    <x v="0"/>
    <s v="363.08"/>
    <s v="107.20"/>
    <n v="1171"/>
    <s v="EM NEGOCIAÇÃO"/>
    <s v="SOLICITAR EXTINÇÃO DA AÇÃO"/>
    <n v="9999"/>
    <x v="5"/>
    <s v="13.22"/>
    <s v="anakeppe"/>
    <s v="Acima de 361"/>
    <s v="ACIONAMENTO"/>
    <x v="2"/>
  </r>
  <r>
    <s v="COGECOM"/>
    <n v="25622277"/>
    <s v="JOSETE CAMARGO DE PAULI"/>
    <s v="OUT"/>
    <s v="OUTROS"/>
    <n v="96287969920"/>
    <x v="0"/>
    <s v="82.43"/>
    <s v="82.43"/>
    <n v="1130"/>
    <s v="EM NEGOCIAÇÃO"/>
    <s v="SOLICITAR EXTINÇÃO DA AÇÃO"/>
    <n v="9999"/>
    <x v="5"/>
    <s v="13.22"/>
    <s v="anakeppe"/>
    <s v="Acima de 361"/>
    <s v="ACIONAMENTO"/>
    <x v="2"/>
  </r>
  <r>
    <s v="COGECOM"/>
    <n v="101166907"/>
    <s v="TAYLA PRISCILA DOS SANTOS"/>
    <s v="OUT"/>
    <s v="OUTROS"/>
    <n v="43857458895"/>
    <x v="0"/>
    <s v="288.78"/>
    <s v="39.45"/>
    <n v="681"/>
    <s v="ACORDO VIGENTE COLCHÃO EM DIA"/>
    <s v="SOLICITAR EXTINÇÃO DA AÇÃO"/>
    <n v="58"/>
    <x v="5"/>
    <s v="13.21"/>
    <s v="anakeppe"/>
    <s v="Acima de 361"/>
    <s v="ACIONAMENTO"/>
    <x v="2"/>
  </r>
  <r>
    <s v="COGECOM"/>
    <n v="11365825"/>
    <s v="RONALDO MENDES LUZ"/>
    <s v="OUT"/>
    <s v="OUTROS"/>
    <n v="82391220944"/>
    <x v="0"/>
    <s v="2419.22"/>
    <s v="1320.48"/>
    <n v="1304"/>
    <s v="NÃO LOCALIZADO"/>
    <s v="TELEFONES SEM ATENDIMENTO"/>
    <n v="0"/>
    <x v="5"/>
    <s v="10.44"/>
    <s v="gleise"/>
    <s v="Acima de 361"/>
    <s v="ACIONAMENTO"/>
    <x v="0"/>
  </r>
  <r>
    <s v="COGECOM"/>
    <n v="21336260"/>
    <s v="ABMAEL ANTONIO DE ASSIS"/>
    <s v="OUT"/>
    <s v="OUTROS"/>
    <n v="88793095104"/>
    <x v="0"/>
    <s v="260.09"/>
    <s v="36.05"/>
    <n v="205"/>
    <s v="NÃO LOCALIZADO"/>
    <s v="TELEFONES SEM ATENDIMENTO"/>
    <n v="0"/>
    <x v="5"/>
    <s v="13.23"/>
    <s v="gleise"/>
    <s v="181 a 360"/>
    <s v="ACIONAMENTO"/>
    <x v="0"/>
  </r>
  <r>
    <s v="COGECOM"/>
    <n v="1440001148"/>
    <s v="ADAMARCIO FRANCISCO ALVES"/>
    <s v="OUT"/>
    <s v="OUTROS"/>
    <n v="54732689191"/>
    <x v="0"/>
    <s v="768.32"/>
    <s v="85.31"/>
    <n v="252"/>
    <s v="SEM INTERESSE"/>
    <s v="NEGOCIAÇÃO VIA TELEFONE"/>
    <n v="0"/>
    <x v="5"/>
    <s v="11.10"/>
    <s v="anakeppe"/>
    <s v="181 a 360"/>
    <s v="CPC"/>
    <x v="1"/>
  </r>
  <r>
    <s v="COGECOM"/>
    <n v="3085228943"/>
    <s v="ADEMAR DOS SANTOS"/>
    <s v="OUT"/>
    <s v="OUTROS"/>
    <n v="904261000"/>
    <x v="0"/>
    <s v="234.40"/>
    <s v="102.85"/>
    <n v="484"/>
    <s v="NÃO LOCALIZADO"/>
    <s v="TELEFONES SEM ATENDIMENTO"/>
    <n v="0"/>
    <x v="5"/>
    <s v="13.24"/>
    <s v="gleise"/>
    <s v="Acima de 361"/>
    <s v="ACIONAMENTO"/>
    <x v="0"/>
  </r>
  <r>
    <s v="COGECOM"/>
    <n v="3005089603"/>
    <s v="ADRIANA LUCIA MARTINS"/>
    <s v="OUT"/>
    <s v="OUTROS"/>
    <n v="5690690686"/>
    <x v="0"/>
    <s v="546.68"/>
    <s v="92.32"/>
    <n v="204"/>
    <s v="NÃO LOCALIZADO"/>
    <s v="TELEFONES SEM ATENDIMENTO"/>
    <n v="0"/>
    <x v="5"/>
    <s v="13.25"/>
    <s v="gleise"/>
    <s v="181 a 360"/>
    <s v="ACIONAMENTO"/>
    <x v="0"/>
  </r>
  <r>
    <s v="COGECOM"/>
    <n v="56400680"/>
    <s v="ALAN DE OLIVEIRA"/>
    <s v="OUT"/>
    <s v="OUTROS"/>
    <n v="12643930673"/>
    <x v="0"/>
    <s v="403.93"/>
    <s v="21.91"/>
    <n v="674"/>
    <s v="NÃO LOCALIZADO"/>
    <s v="TELEFONES SEM ATENDIMENTO"/>
    <n v="0"/>
    <x v="5"/>
    <s v="13.28"/>
    <s v="gleise"/>
    <s v="Acima de 361"/>
    <s v="ACIONAMENTO"/>
    <x v="0"/>
  </r>
  <r>
    <s v="COGECOM"/>
    <n v="54981163"/>
    <s v="AMAURI FONSECA"/>
    <s v="OUT"/>
    <s v="OUTROS"/>
    <n v="701813903"/>
    <x v="0"/>
    <s v="80.77"/>
    <s v="80.77"/>
    <n v="353"/>
    <s v="NÃO LOCALIZADO"/>
    <s v="TELEFONES SEM ATENDIMENTO"/>
    <n v="0"/>
    <x v="5"/>
    <s v="13.29"/>
    <s v="gleise"/>
    <s v="181 a 360"/>
    <s v="ACIONAMENTO"/>
    <x v="0"/>
  </r>
  <r>
    <s v="COGECOM"/>
    <n v="56007474"/>
    <s v="ANA PAULA MONTEIRO  BARRETO A DE MORAIS"/>
    <s v="OUT"/>
    <s v="OUTROS"/>
    <n v="13204981835"/>
    <x v="0"/>
    <s v="103.31"/>
    <s v="103.31"/>
    <n v="477"/>
    <s v="NÃO LOCALIZADO"/>
    <s v="TELEFONES SEM ATENDIMENTO"/>
    <n v="0"/>
    <x v="5"/>
    <s v="9.22"/>
    <s v="gleise"/>
    <s v="Acima de 361"/>
    <s v="ACIONAMENTO"/>
    <x v="0"/>
  </r>
  <r>
    <s v="COGECOM"/>
    <n v="3095759659"/>
    <s v="ANDERSON DA SILVA BRITES"/>
    <s v="OUT"/>
    <s v="OUTROS"/>
    <n v="1658199014"/>
    <x v="0"/>
    <s v="344.53"/>
    <s v="89.08"/>
    <n v="671"/>
    <s v="NÃO LOCALIZADO"/>
    <s v="TELEFONES SEM ATENDIMENTO"/>
    <n v="0"/>
    <x v="5"/>
    <s v="10.37"/>
    <s v="gleise"/>
    <s v="Acima de 361"/>
    <s v="ACIONAMENTO"/>
    <x v="0"/>
  </r>
  <r>
    <s v="COGECOM"/>
    <n v="2979586"/>
    <s v="ANDERSON MARTINS BARROS DOS SANTOS"/>
    <s v="OUT"/>
    <s v="OUTROS"/>
    <n v="1901335119"/>
    <x v="0"/>
    <s v="59.79"/>
    <s v="34.02"/>
    <n v="686"/>
    <s v="NÃO LOCALIZADO"/>
    <s v="TELEFONES SEM ATENDIMENTO"/>
    <n v="0"/>
    <x v="5"/>
    <s v="15.38"/>
    <s v="gleise"/>
    <s v="Acima de 361"/>
    <s v="ACIONAMENTO"/>
    <x v="0"/>
  </r>
  <r>
    <s v="COGECOM"/>
    <n v="49861478"/>
    <s v="ANDREA NEVES DA CUNHA"/>
    <s v="OUT"/>
    <s v="OUTROS"/>
    <n v="2713081173"/>
    <x v="0"/>
    <s v="39.84"/>
    <s v="39.84"/>
    <n v="573"/>
    <s v="NÃO LOCALIZADO"/>
    <s v="TELEFONES SEM ATENDIMENTO"/>
    <n v="0"/>
    <x v="5"/>
    <s v="10.39"/>
    <s v="gleise"/>
    <s v="Acima de 361"/>
    <s v="ACIONAMENTO"/>
    <x v="0"/>
  </r>
  <r>
    <s v="COGECOM"/>
    <n v="21093742"/>
    <s v="ANDRESSA SOARES FERREIRA"/>
    <s v="OUT"/>
    <s v="OUTROS"/>
    <n v="22440192848"/>
    <x v="0"/>
    <s v="144.22"/>
    <s v="90.25"/>
    <n v="631"/>
    <s v="NÃO LOCALIZADO"/>
    <s v="TELEFONES SEM ATENDIMENTO"/>
    <n v="0"/>
    <x v="5"/>
    <s v="13.32"/>
    <s v="gleise"/>
    <s v="Acima de 361"/>
    <s v="ACIONAMENTO"/>
    <x v="0"/>
  </r>
  <r>
    <s v="COGECOM"/>
    <n v="12593448"/>
    <s v="ANGENOR MARINHO DE ARAUJO"/>
    <s v="OUT"/>
    <s v="OUTROS"/>
    <n v="13001779187"/>
    <x v="0"/>
    <s v="1035.48"/>
    <s v="393.51"/>
    <n v="330"/>
    <s v="NÃO LOCALIZADO"/>
    <s v="TELEFONES SEM ATENDIMENTO"/>
    <n v="0"/>
    <x v="5"/>
    <s v="13.34"/>
    <s v="gleise"/>
    <s v="181 a 360"/>
    <s v="ACIONAMENTO"/>
    <x v="0"/>
  </r>
  <r>
    <s v="COGECOM"/>
    <n v="12802475"/>
    <s v="ANTONIO DIONISIO BARBOSA"/>
    <s v="OUT"/>
    <s v="OUTROS"/>
    <n v="40919021115"/>
    <x v="0"/>
    <s v="1058.90"/>
    <s v="225.41"/>
    <n v="220"/>
    <s v="NÃO LOCALIZADO"/>
    <s v="TELEFONES SEM ATENDIMENTO"/>
    <n v="0"/>
    <x v="5"/>
    <s v="13.33"/>
    <s v="gleise"/>
    <s v="181 a 360"/>
    <s v="ACIONAMENTO"/>
    <x v="0"/>
  </r>
  <r>
    <s v="COGECOM"/>
    <n v="52794935"/>
    <s v="BARBARA KEITI GOMES CHARAO"/>
    <s v="OUT"/>
    <s v="OUTROS"/>
    <n v="92319726004"/>
    <x v="0"/>
    <s v="847.93"/>
    <s v="202.20"/>
    <n v="384"/>
    <s v="NÃO LOCALIZADO"/>
    <s v="TELEFONES SEM ATENDIMENTO"/>
    <n v="0"/>
    <x v="5"/>
    <s v="11.51"/>
    <s v="gleise"/>
    <s v="Acima de 361"/>
    <s v="ACIONAMENTO"/>
    <x v="0"/>
  </r>
  <r>
    <s v="COGECOM"/>
    <n v="101011008"/>
    <s v="BRENNO MULLER DE OLIVEIRA"/>
    <s v="OUT"/>
    <s v="OUTROS"/>
    <n v="7428573602"/>
    <x v="0"/>
    <s v="1728.50"/>
    <s v="363.05"/>
    <n v="478"/>
    <s v="NÃO LOCALIZADO"/>
    <s v="TELEFONES SEM ATENDIMENTO"/>
    <n v="0"/>
    <x v="5"/>
    <s v="10.25"/>
    <s v="gleise"/>
    <s v="Acima de 361"/>
    <s v="ACIONAMENTO"/>
    <x v="0"/>
  </r>
  <r>
    <s v="COGECOM"/>
    <n v="84684631"/>
    <s v="BRUNA CAROLINY DUTRA DOS SANTOS"/>
    <s v="OUT"/>
    <s v="OUTROS"/>
    <n v="7391506931"/>
    <x v="0"/>
    <s v="1156.98"/>
    <s v="636.95"/>
    <n v="527"/>
    <s v="NÃO LOCALIZADO"/>
    <s v="TELEFONES SEM ATENDIMENTO"/>
    <n v="0"/>
    <x v="5"/>
    <s v="11.12"/>
    <s v="gleise"/>
    <s v="Acima de 361"/>
    <s v="ACIONAMENTO"/>
    <x v="0"/>
  </r>
  <r>
    <s v="COGECOM"/>
    <n v="101932910"/>
    <s v="BRUNO EUGENIO DO E S OLIVEIRA LOMBARDI"/>
    <s v="OUT"/>
    <s v="OUTROS"/>
    <n v="34611996808"/>
    <x v="0"/>
    <s v="1236.04"/>
    <s v="287.01"/>
    <n v="497"/>
    <s v="NÃO LOCALIZADO"/>
    <s v="TELEFONES SEM ATENDIMENTO"/>
    <n v="0"/>
    <x v="5"/>
    <s v="16.35"/>
    <s v="gleise"/>
    <s v="Acima de 361"/>
    <s v="ACIONAMENTO"/>
    <x v="0"/>
  </r>
  <r>
    <s v="COGECOM"/>
    <n v="10145795"/>
    <s v="CATARINA APARECIDA ALVES DE ALMEIDA"/>
    <s v="OUT"/>
    <s v="OUTROS"/>
    <n v="30038561115"/>
    <x v="0"/>
    <s v="1227.21"/>
    <s v="211.04"/>
    <n v="279"/>
    <s v="AG RESPOSTA 1º CONTATO"/>
    <s v="ENVIADO MSG/E-MAIL 1º CONTATO"/>
    <n v="0"/>
    <x v="5"/>
    <s v="13.37"/>
    <s v="l.quadros"/>
    <s v="181 a 360"/>
    <s v="ACIONAMENTO"/>
    <x v="4"/>
  </r>
  <r>
    <s v="COGECOM"/>
    <n v="30890566"/>
    <s v="CELIO ADRIANO FLORIANO"/>
    <s v="OUT"/>
    <s v="OUTROS"/>
    <n v="97011541934"/>
    <x v="0"/>
    <s v="316.42"/>
    <s v="86.55"/>
    <n v="566"/>
    <s v="NÃO LOCALIZADO"/>
    <s v="TELEFONES SEM ATENDIMENTO"/>
    <n v="0"/>
    <x v="5"/>
    <s v="13.35"/>
    <s v="gleise"/>
    <s v="Acima de 361"/>
    <s v="ACIONAMENTO"/>
    <x v="0"/>
  </r>
  <r>
    <s v="COGECOM"/>
    <n v="1725254"/>
    <s v="CELIO VICTOR DA SILVA"/>
    <s v="OUT"/>
    <s v="OUTROS"/>
    <n v="56609744904"/>
    <x v="0"/>
    <s v="4655.93"/>
    <s v="351.91"/>
    <n v="1079"/>
    <s v="NÃO LOCALIZADO"/>
    <s v="TELEFONES SEM ATENDIMENTO"/>
    <n v="0"/>
    <x v="5"/>
    <s v="11.45"/>
    <s v="gleise"/>
    <s v="Acima de 361"/>
    <s v="ACIONAMENTO"/>
    <x v="0"/>
  </r>
  <r>
    <s v="COGECOM"/>
    <n v="10033630508"/>
    <s v="CICERO BRAGA ROLIM FILHO"/>
    <s v="OUT"/>
    <s v="OUTROS"/>
    <n v="7390611510"/>
    <x v="0"/>
    <s v="1272.53"/>
    <s v="149.39"/>
    <n v="331"/>
    <s v="NÃO LOCALIZADO"/>
    <s v="TELEFONES SEM ATENDIMENTO"/>
    <n v="0"/>
    <x v="5"/>
    <s v="13.36"/>
    <s v="gleise"/>
    <s v="181 a 360"/>
    <s v="ACIONAMENTO"/>
    <x v="0"/>
  </r>
  <r>
    <s v="COGECOM"/>
    <n v="22371036"/>
    <s v="CICERO CAVALCANTE DE FARIAS"/>
    <s v="OUT"/>
    <s v="OUTROS"/>
    <n v="29676765864"/>
    <x v="0"/>
    <s v="20.47"/>
    <s v="20.47"/>
    <n v="472"/>
    <s v="NÃO LOCALIZADO"/>
    <s v="TELEFONES SEM ATENDIMENTO"/>
    <n v="0"/>
    <x v="5"/>
    <s v="15.41"/>
    <s v="gleise"/>
    <s v="Acima de 361"/>
    <s v="ACIONAMENTO"/>
    <x v="0"/>
  </r>
  <r>
    <s v="COGECOM"/>
    <n v="3081863764"/>
    <s v="CINTIA FABIANE FLORES DA SILVA"/>
    <s v="OUT"/>
    <s v="OUTROS"/>
    <n v="49128116020"/>
    <x v="0"/>
    <s v="630.99"/>
    <s v="258.91"/>
    <n v="387"/>
    <s v="SEM INTERESSE"/>
    <s v="NEGOCIAÇÃO VIA TELEFONE"/>
    <n v="0"/>
    <x v="5"/>
    <s v="15.26"/>
    <s v="anakeppe"/>
    <s v="Acima de 361"/>
    <s v="CPC"/>
    <x v="1"/>
  </r>
  <r>
    <s v="COGECOM"/>
    <n v="33247633"/>
    <s v="CLAUDIONOR PEREIRA DA  COSTA"/>
    <s v="OUT"/>
    <s v="OUTROS"/>
    <n v="7220944934"/>
    <x v="0"/>
    <s v="493.20"/>
    <s v="203.31"/>
    <n v="228"/>
    <s v="NÃO LOCALIZADO"/>
    <s v="TELEFONES SEM ATENDIMENTO"/>
    <n v="0"/>
    <x v="5"/>
    <s v="13.37"/>
    <s v="gleise"/>
    <s v="181 a 360"/>
    <s v="ACIONAMENTO"/>
    <x v="0"/>
  </r>
  <r>
    <s v="COGECOM"/>
    <n v="26813522"/>
    <s v="CLEA MARIA DIAS SILVEIRA"/>
    <s v="OUT"/>
    <s v="OUTROS"/>
    <n v="43294430906"/>
    <x v="0"/>
    <s v="174.18"/>
    <s v="174.18"/>
    <n v="612"/>
    <s v="NÃO LOCALIZADO"/>
    <s v="TELEFONES SEM ATENDIMENTO"/>
    <n v="0"/>
    <x v="5"/>
    <s v="15.41"/>
    <s v="gleise"/>
    <s v="Acima de 361"/>
    <s v="ACIONAMENTO"/>
    <x v="0"/>
  </r>
  <r>
    <s v="COGECOM"/>
    <n v="3005416024"/>
    <s v="CLERISTON FERRAZ RODRIGUES"/>
    <s v="OUT"/>
    <s v="OUTROS"/>
    <n v="86646664668"/>
    <x v="0"/>
    <s v="454.95"/>
    <s v="454.95"/>
    <n v="529"/>
    <s v="NÃO LOCALIZADO"/>
    <s v="TELEFONES SEM ATENDIMENTO"/>
    <n v="0"/>
    <x v="5"/>
    <s v="16.28"/>
    <s v="gleise"/>
    <s v="Acima de 361"/>
    <s v="ACIONAMENTO"/>
    <x v="0"/>
  </r>
  <r>
    <s v="COGECOM"/>
    <n v="10027122903"/>
    <s v="CLESIO LUIZ DA PENHA"/>
    <s v="OUT"/>
    <s v="OUTROS"/>
    <n v="3243341175"/>
    <x v="0"/>
    <s v="151.19"/>
    <s v="113.03"/>
    <n v="276"/>
    <s v="SEM INTERESSE"/>
    <s v="NEGOCIAÇÃO VIA TELEFONE"/>
    <n v="0"/>
    <x v="5"/>
    <s v="13.31"/>
    <s v="gleise"/>
    <s v="181 a 360"/>
    <s v="CPC"/>
    <x v="1"/>
  </r>
  <r>
    <s v="COGECOM"/>
    <n v="3095199999"/>
    <s v="CRISTIANE RODRIGUES PINHO"/>
    <s v="OUT"/>
    <s v="OUTROS"/>
    <n v="80633285072"/>
    <x v="0"/>
    <s v="424.57"/>
    <s v="424.57"/>
    <n v="610"/>
    <s v="NÃO LOCALIZADO"/>
    <s v="TELEFONES SEM ATENDIMENTO"/>
    <n v="0"/>
    <x v="5"/>
    <s v="13.38"/>
    <s v="gleise"/>
    <s v="Acima de 361"/>
    <s v="ACIONAMENTO"/>
    <x v="0"/>
  </r>
  <r>
    <s v="COGECOM"/>
    <n v="3003416962"/>
    <s v="DANILO GONCALVES MOREIRA"/>
    <s v="OUT"/>
    <s v="OUTROS"/>
    <n v="7957438660"/>
    <x v="0"/>
    <s v="346.89"/>
    <s v="111.00"/>
    <n v="442"/>
    <s v="NÃO LOCALIZADO"/>
    <s v="TELEFONES SEM ATENDIMENTO"/>
    <n v="0"/>
    <x v="5"/>
    <s v="15.42"/>
    <s v="gleise"/>
    <s v="Acima de 361"/>
    <s v="ACIONAMENTO"/>
    <x v="0"/>
  </r>
  <r>
    <s v="COGECOM"/>
    <n v="3010683418"/>
    <s v="DARLENE ROBERTA DE CARVALHO MATHEUS"/>
    <s v="OUT"/>
    <s v="OUTROS"/>
    <n v="92857051620"/>
    <x v="0"/>
    <s v="511.95"/>
    <s v="120.66"/>
    <n v="302"/>
    <s v="NÃO LOCALIZADO"/>
    <s v="TELEFONES SEM ATENDIMENTO"/>
    <n v="0"/>
    <x v="5"/>
    <s v="13.39"/>
    <s v="gleise"/>
    <s v="181 a 360"/>
    <s v="ACIONAMENTO"/>
    <x v="0"/>
  </r>
  <r>
    <s v="COGECOM"/>
    <n v="3005982538"/>
    <s v="DENILSON SOLANO DA SILVA"/>
    <s v="OUT"/>
    <s v="OUTROS"/>
    <n v="63995883672"/>
    <x v="0"/>
    <s v="409.36"/>
    <s v="207.52"/>
    <n v="291"/>
    <s v="AG RESPOSTA 1º CONTATO"/>
    <s v="ENVIADO MSG/E-MAIL 1º CONTATO"/>
    <n v="0"/>
    <x v="5"/>
    <s v="17.05"/>
    <s v="l.quadros"/>
    <s v="181 a 360"/>
    <s v="ACIONAMENTO"/>
    <x v="4"/>
  </r>
  <r>
    <s v="COGECOM"/>
    <n v="34549552"/>
    <s v="DORALICE BARBOSA SANTANA"/>
    <s v="OUT"/>
    <s v="OUTROS"/>
    <n v="46476822934"/>
    <x v="0"/>
    <s v="509.04"/>
    <s v="117.75"/>
    <n v="196"/>
    <s v="NÃO LOCALIZADO"/>
    <s v="TELEFONES SEM ATENDIMENTO"/>
    <n v="0"/>
    <x v="5"/>
    <s v="13.41"/>
    <s v="gleise"/>
    <s v="181 a 360"/>
    <s v="ACIONAMENTO"/>
    <x v="0"/>
  </r>
  <r>
    <s v="COGECOM"/>
    <n v="81035"/>
    <s v="DORIVAL CORDEIRO RAMOS JUNIOR"/>
    <s v="OUT"/>
    <s v="OUTROS"/>
    <n v="23146710900"/>
    <x v="0"/>
    <s v="365.51"/>
    <s v="158.70"/>
    <n v="193"/>
    <s v="NÃO LOCALIZADO"/>
    <s v="TELEFONES SEM ATENDIMENTO"/>
    <n v="0"/>
    <x v="5"/>
    <s v="15.44"/>
    <s v="gleise"/>
    <s v="181 a 360"/>
    <s v="ACIONAMENTO"/>
    <x v="0"/>
  </r>
  <r>
    <s v="COGECOM"/>
    <n v="100573983"/>
    <s v="DOUGLAS PASUC KLIPP"/>
    <s v="OUT"/>
    <s v="OUTROS"/>
    <n v="4701671908"/>
    <x v="0"/>
    <s v="4291.44"/>
    <s v="898.87"/>
    <n v="730"/>
    <s v="NÃO LOCALIZADO"/>
    <s v="SOLICITAR EXTINÇÃO DA AÇÃO"/>
    <n v="6"/>
    <x v="5"/>
    <s v="13.41"/>
    <s v="anakeppe"/>
    <s v="Acima de 361"/>
    <s v="ACIONAMENTO"/>
    <x v="0"/>
  </r>
  <r>
    <s v="COGECOM"/>
    <n v="3004682951"/>
    <s v="EDUARDO APARECIDO LIMA"/>
    <s v="OUT"/>
    <s v="OUTROS"/>
    <n v="10579203638"/>
    <x v="0"/>
    <s v="396.99"/>
    <s v="147.66"/>
    <n v="371"/>
    <s v="NÃO LOCALIZADO"/>
    <s v="TELEFONES SEM ATENDIMENTO"/>
    <n v="0"/>
    <x v="5"/>
    <s v="10.31"/>
    <s v="gleise"/>
    <s v="Acima de 361"/>
    <s v="ACIONAMENTO"/>
    <x v="0"/>
  </r>
  <r>
    <s v="COGECOM"/>
    <n v="4002658089"/>
    <s v="EDUARDO TOSON"/>
    <s v="OUT"/>
    <s v="OUTROS"/>
    <n v="79523099"/>
    <x v="0"/>
    <s v="1458.58"/>
    <s v="598.48"/>
    <n v="273"/>
    <s v="NÃO LOCALIZADO"/>
    <s v="SOLICITAR EXTINÇÃO DA AÇÃO"/>
    <n v="6"/>
    <x v="5"/>
    <s v="13.41"/>
    <s v="anakeppe"/>
    <s v="181 a 360"/>
    <s v="ACIONAMENTO"/>
    <x v="0"/>
  </r>
  <r>
    <s v="COGECOM"/>
    <n v="10018316512"/>
    <s v="EDVALDO FONSECA PEREIRA"/>
    <s v="OUT"/>
    <s v="OUTROS"/>
    <n v="141628650"/>
    <x v="0"/>
    <s v="534.63"/>
    <s v="46.15"/>
    <n v="213"/>
    <s v="NÃO LOCALIZADO"/>
    <s v="TELEFONES SEM ATENDIMENTO"/>
    <n v="0"/>
    <x v="5"/>
    <s v="13.42"/>
    <s v="gleise"/>
    <s v="181 a 360"/>
    <s v="ACIONAMENTO"/>
    <x v="0"/>
  </r>
  <r>
    <s v="COGECOM"/>
    <n v="3012388947"/>
    <s v="ELCA APARECIDA PIRES NOGUEIRA"/>
    <s v="OUT"/>
    <s v="OUTROS"/>
    <n v="3985693633"/>
    <x v="0"/>
    <s v="290.81"/>
    <s v="290.81"/>
    <n v="360"/>
    <s v="NÃO LOCALIZADO"/>
    <s v="TELEFONES SEM ATENDIMENTO"/>
    <n v="0"/>
    <x v="5"/>
    <s v="13.42"/>
    <s v="gleise"/>
    <s v="181 a 360"/>
    <s v="ACIONAMENTO"/>
    <x v="0"/>
  </r>
  <r>
    <s v="COGECOM"/>
    <n v="3095323250"/>
    <s v="ELIOMAR ANDRÉ DUARTE"/>
    <s v="OUT"/>
    <s v="OUTROS"/>
    <n v="18714436876"/>
    <x v="0"/>
    <s v="3892.80"/>
    <s v="967.96"/>
    <n v="638"/>
    <s v="SEM INTERESSE"/>
    <s v="NEGOCIAÇÃO VIA TELEFONE"/>
    <n v="0"/>
    <x v="5"/>
    <s v="16.30"/>
    <s v="anakeppe"/>
    <s v="Acima de 361"/>
    <s v="CPC"/>
    <x v="1"/>
  </r>
  <r>
    <s v="COGECOM"/>
    <n v="690293770"/>
    <s v="ELITA PEREIRA CARAPINA PALHARES"/>
    <s v="OUT"/>
    <s v="OUTROS"/>
    <n v="1074461118"/>
    <x v="0"/>
    <s v="679.15"/>
    <s v="68.25"/>
    <n v="286"/>
    <s v="AG RESPOSTA 1º CONTATO"/>
    <s v="ENVIADO MSG/E-MAIL 1º CONTATO"/>
    <n v="0"/>
    <x v="5"/>
    <s v="13.45"/>
    <s v="l.quadros"/>
    <s v="181 a 360"/>
    <s v="ACIONAMENTO"/>
    <x v="4"/>
  </r>
  <r>
    <s v="COGECOM"/>
    <n v="25884027"/>
    <s v="EMERSON EVARISTO"/>
    <s v="OUT"/>
    <s v="OUTROS"/>
    <n v="722484917"/>
    <x v="0"/>
    <s v="4043.99"/>
    <s v="1018.54"/>
    <n v="691"/>
    <s v="NÃO LOCALIZADO"/>
    <s v="TELEFONES SEM ATENDIMENTO"/>
    <n v="0"/>
    <x v="5"/>
    <s v="15.45"/>
    <s v="gleise"/>
    <s v="Acima de 361"/>
    <s v="ACIONAMENTO"/>
    <x v="0"/>
  </r>
  <r>
    <s v="COGECOM"/>
    <n v="109567420"/>
    <s v="ENIC HANAIRE CORREIA DA SILVA PESSOA"/>
    <s v="OUT"/>
    <s v="OUTROS"/>
    <n v="8268697938"/>
    <x v="0"/>
    <s v="82.11"/>
    <s v="82.11"/>
    <n v="558"/>
    <m/>
    <s v="SOLICITAR EXTINÇÃO DA AÇÃO"/>
    <n v="9999"/>
    <x v="5"/>
    <s v="13.43"/>
    <s v="anakeppe"/>
    <s v="Acima de 361"/>
    <s v="ACIONAMENTO"/>
    <x v="4"/>
  </r>
  <r>
    <s v="COGECOM"/>
    <n v="82666768"/>
    <s v="EUNICE DE LOURDES CIPOLLA PIZZO"/>
    <s v="OUT"/>
    <s v="OUTROS"/>
    <n v="44967500900"/>
    <x v="0"/>
    <s v="2595.83"/>
    <s v="707.91"/>
    <n v="196"/>
    <s v="NÃO LOCALIZADO"/>
    <s v="TELEFONES SEM ATENDIMENTO"/>
    <n v="0"/>
    <x v="5"/>
    <s v="11.03"/>
    <s v="gleise"/>
    <s v="181 a 360"/>
    <s v="ACIONAMENTO"/>
    <x v="0"/>
  </r>
  <r>
    <s v="COGECOM"/>
    <n v="79691870"/>
    <s v="FABIO ABELINO FERREIRA"/>
    <s v="OUT"/>
    <s v="OUTROS"/>
    <n v="2592322701"/>
    <x v="0"/>
    <s v="452.28"/>
    <s v="452.28"/>
    <n v="525"/>
    <s v="NÃO LOCALIZADO"/>
    <s v="TELEFONES SEM ATENDIMENTO"/>
    <n v="0"/>
    <x v="5"/>
    <s v="15.46"/>
    <s v="gleise"/>
    <s v="Acima de 361"/>
    <s v="ACIONAMENTO"/>
    <x v="0"/>
  </r>
  <r>
    <s v="COGECOM"/>
    <n v="10021737094"/>
    <s v="FABIO RODRIGO MARTINS DA CUNHA"/>
    <s v="OUT"/>
    <s v="OUTROS"/>
    <n v="845087100"/>
    <x v="0"/>
    <s v="741.66"/>
    <s v="46.15"/>
    <n v="233"/>
    <s v="SEM INTERESSE"/>
    <s v="NEGOCIAÇÃO VIA TELEFONE"/>
    <n v="0"/>
    <x v="5"/>
    <s v="13.45"/>
    <s v="gleise"/>
    <s v="181 a 360"/>
    <s v="CPC"/>
    <x v="1"/>
  </r>
  <r>
    <s v="COGECOM"/>
    <n v="20894539"/>
    <s v="FANTON PANIFICADORA LTDA"/>
    <s v="OUT"/>
    <s v="OUTROS"/>
    <n v="2671621000122"/>
    <x v="0"/>
    <s v="2720.83"/>
    <s v="2720.83"/>
    <n v="1038"/>
    <s v="AG RESPOSTA 1º CONTATO"/>
    <s v="ENVIADO MSG/E-MAIL 1º CONTATO"/>
    <n v="0"/>
    <x v="5"/>
    <s v="9.57"/>
    <s v="l.quadros"/>
    <s v="Acima de 361"/>
    <s v="ACIONAMENTO"/>
    <x v="4"/>
  </r>
  <r>
    <s v="COGECOM"/>
    <n v="9885595"/>
    <s v="FATIMA CANDIDO DE MOURA DE JESUS"/>
    <s v="OUT"/>
    <s v="OUTROS"/>
    <n v="4614515908"/>
    <x v="0"/>
    <s v="365.17"/>
    <s v="305.00"/>
    <n v="252"/>
    <s v="NÃO LOCALIZADO"/>
    <s v="TELEFONES SEM ATENDIMENTO"/>
    <n v="0"/>
    <x v="5"/>
    <s v="16.31"/>
    <s v="gleise"/>
    <s v="181 a 360"/>
    <s v="ACIONAMENTO"/>
    <x v="0"/>
  </r>
  <r>
    <s v="COGECOM"/>
    <n v="3095701255"/>
    <s v="FERNANDA CRISTINA KOPP POST"/>
    <s v="OUT"/>
    <s v="OUTROS"/>
    <n v="83680543034"/>
    <x v="0"/>
    <s v="231.17"/>
    <s v="135.06"/>
    <n v="583"/>
    <m/>
    <s v="SOLICITAR EXTINÇÃO DA AÇÃO"/>
    <n v="9999"/>
    <x v="5"/>
    <s v="13.43"/>
    <s v="anakeppe"/>
    <s v="Acima de 361"/>
    <s v="ACIONAMENTO"/>
    <x v="4"/>
  </r>
  <r>
    <s v="COGECOM"/>
    <n v="70629030"/>
    <s v="FERNANDA PAQUE COSTA"/>
    <s v="OUT"/>
    <s v="OUTROS"/>
    <n v="8719806906"/>
    <x v="0"/>
    <s v="1122.51"/>
    <s v="207.90"/>
    <n v="434"/>
    <s v="EM NEGOCIAÇÃO"/>
    <s v="SOLICITAR EXTINÇÃO DA AÇÃO"/>
    <n v="9999"/>
    <x v="5"/>
    <s v="13.44"/>
    <s v="anakeppe"/>
    <s v="Acima de 361"/>
    <s v="ACIONAMENTO"/>
    <x v="2"/>
  </r>
  <r>
    <s v="COGECOM"/>
    <n v="4029461"/>
    <s v="FERNANDO APARECIDO LOPES"/>
    <s v="OUT"/>
    <s v="OUTROS"/>
    <n v="29516660800"/>
    <x v="0"/>
    <s v="699.85"/>
    <s v="222.84"/>
    <n v="191"/>
    <s v="NÃO LOCALIZADO"/>
    <s v="TELEFONES SEM ATENDIMENTO"/>
    <n v="0"/>
    <x v="5"/>
    <s v="15.47"/>
    <s v="gleise"/>
    <s v="181 a 360"/>
    <s v="ACIONAMENTO"/>
    <x v="0"/>
  </r>
  <r>
    <s v="COGECOM"/>
    <n v="80691528"/>
    <s v="FERNANDO RICHARD LIMA PEREZ JUNIOR"/>
    <s v="OUT"/>
    <s v="OUTROS"/>
    <n v="31573931896"/>
    <x v="0"/>
    <s v="215.94"/>
    <s v="187.75"/>
    <n v="191"/>
    <m/>
    <s v="SOLICITAR EXTINÇÃO DA AÇÃO"/>
    <n v="9999"/>
    <x v="5"/>
    <s v="13.44"/>
    <s v="anakeppe"/>
    <s v="181 a 360"/>
    <s v="ACIONAMENTO"/>
    <x v="4"/>
  </r>
  <r>
    <s v="COGECOM"/>
    <n v="3011554492"/>
    <s v="FLAVIA CRISTINA REZENDE"/>
    <s v="OUT"/>
    <s v="OUTROS"/>
    <n v="3535243602"/>
    <x v="0"/>
    <s v="109.74"/>
    <s v="109.74"/>
    <n v="484"/>
    <s v="NÃO LOCALIZADO"/>
    <s v="TELEFONES SEM ATENDIMENTO"/>
    <n v="0"/>
    <x v="5"/>
    <s v="13.47"/>
    <s v="gleise"/>
    <s v="Acima de 361"/>
    <s v="ACIONAMENTO"/>
    <x v="0"/>
  </r>
  <r>
    <s v="COGECOM"/>
    <n v="77518578"/>
    <s v="GABRIEL BENITO DE MOURA"/>
    <s v="OUT"/>
    <s v="OUTROS"/>
    <n v="10930274954"/>
    <x v="0"/>
    <s v="1665.88"/>
    <s v="298.65"/>
    <n v="347"/>
    <s v="NÃO LOCALIZADO"/>
    <s v="TELEFONES SEM ATENDIMENTO"/>
    <n v="0"/>
    <x v="5"/>
    <s v="13.47"/>
    <s v="gleise"/>
    <s v="181 a 360"/>
    <s v="ACIONAMENTO"/>
    <x v="0"/>
  </r>
  <r>
    <s v="COGECOM"/>
    <n v="95841091"/>
    <s v="GABRIELA LUDWIG"/>
    <s v="OUT"/>
    <s v="OUTROS"/>
    <n v="3784802940"/>
    <x v="0"/>
    <s v="118.35"/>
    <s v="118.35"/>
    <n v="292"/>
    <m/>
    <s v="SOLICITAR EXTINÇÃO DA AÇÃO"/>
    <n v="9999"/>
    <x v="5"/>
    <s v="13.46"/>
    <s v="anakeppe"/>
    <s v="181 a 360"/>
    <s v="ACIONAMENTO"/>
    <x v="4"/>
  </r>
  <r>
    <s v="COGECOM"/>
    <n v="10000262143"/>
    <s v="GILDETE LOPES TELES"/>
    <s v="OUT"/>
    <s v="OUTROS"/>
    <n v="60198648200"/>
    <x v="0"/>
    <s v="1142.81"/>
    <s v="183.76"/>
    <n v="202"/>
    <s v="NÃO LOCALIZADO"/>
    <s v="TELEFONES SEM ATENDIMENTO"/>
    <n v="0"/>
    <x v="5"/>
    <s v="13.50"/>
    <s v="gleise"/>
    <s v="181 a 360"/>
    <s v="ACIONAMENTO"/>
    <x v="0"/>
  </r>
  <r>
    <s v="COGECOM"/>
    <n v="27035574"/>
    <s v="GIULIANNA DE MIRANDA BRANDALISE"/>
    <s v="OUT"/>
    <s v="OUTROS"/>
    <n v="1509147098"/>
    <x v="0"/>
    <s v="194.85"/>
    <s v="92.36"/>
    <n v="272"/>
    <s v="NÃO LOCALIZADO"/>
    <s v="TELEFONES SEM ATENDIMENTO"/>
    <n v="0"/>
    <x v="5"/>
    <s v="13.48"/>
    <s v="gleise"/>
    <s v="181 a 360"/>
    <s v="ACIONAMENTO"/>
    <x v="0"/>
  </r>
  <r>
    <s v="COGECOM"/>
    <n v="98692950"/>
    <s v="GUSTAVO FISCHER DA SILVA"/>
    <s v="OUT"/>
    <s v="OUTROS"/>
    <n v="4421028959"/>
    <x v="0"/>
    <s v="321.96"/>
    <s v="224.66"/>
    <n v="699"/>
    <s v="NÃO LOCALIZADO"/>
    <s v="TELEFONES SEM ATENDIMENTO"/>
    <n v="0"/>
    <x v="5"/>
    <s v="15.48"/>
    <s v="gleise"/>
    <s v="Acima de 361"/>
    <s v="ACIONAMENTO"/>
    <x v="0"/>
  </r>
  <r>
    <s v="COGECOM"/>
    <n v="27674488"/>
    <s v="HILDEBRANDO ELEOTERIO"/>
    <s v="OUT"/>
    <s v="OUTROS"/>
    <n v="23124873904"/>
    <x v="0"/>
    <s v="346.61"/>
    <s v="115.92"/>
    <n v="564"/>
    <s v="NÃO LOCALIZADO"/>
    <s v="TELEFONES SEM ATENDIMENTO"/>
    <n v="0"/>
    <x v="5"/>
    <s v="13.51"/>
    <s v="gleise"/>
    <s v="Acima de 361"/>
    <s v="ACIONAMENTO"/>
    <x v="0"/>
  </r>
  <r>
    <s v="COGECOM"/>
    <n v="26502917"/>
    <s v="HOTEIS MIGLIOZI LTDA"/>
    <s v="OUT"/>
    <s v="OUTROS"/>
    <n v="81218984000183"/>
    <x v="0"/>
    <s v="1753.06"/>
    <s v="1631.77"/>
    <n v="980"/>
    <s v="NÃO LOCALIZADO"/>
    <s v="TELEFONES SEM ATENDIMENTO"/>
    <n v="0"/>
    <x v="5"/>
    <s v="13.51"/>
    <s v="gleise"/>
    <s v="Acima de 361"/>
    <s v="ACIONAMENTO"/>
    <x v="0"/>
  </r>
  <r>
    <s v="COGECOM"/>
    <n v="10001990649"/>
    <s v="IDINEIS PEREIRA DA SILVA"/>
    <s v="OUT"/>
    <s v="OUTROS"/>
    <n v="94766789172"/>
    <x v="0"/>
    <s v="368.89"/>
    <s v="51.01"/>
    <n v="350"/>
    <s v="NÃO LOCALIZADO"/>
    <s v="TELEFONES SEM ATENDIMENTO"/>
    <n v="0"/>
    <x v="5"/>
    <s v="15.49"/>
    <s v="gleise"/>
    <s v="181 a 360"/>
    <s v="ACIONAMENTO"/>
    <x v="0"/>
  </r>
  <r>
    <s v="COGECOM"/>
    <n v="49037188"/>
    <s v="ILAYR MOREIRA PAES"/>
    <s v="OUT"/>
    <s v="OUTROS"/>
    <n v="72324503972"/>
    <x v="0"/>
    <s v="515.13"/>
    <s v="186.46"/>
    <n v="618"/>
    <s v="NÃO LOCALIZADO"/>
    <s v="TELEFONES SEM ATENDIMENTO"/>
    <n v="0"/>
    <x v="5"/>
    <s v="10.29"/>
    <s v="gleise"/>
    <s v="Acima de 361"/>
    <s v="ACIONAMENTO"/>
    <x v="0"/>
  </r>
  <r>
    <s v="COGECOM"/>
    <n v="3092500970"/>
    <s v="ILOANE MARRARLI VANLARE GONCALVES"/>
    <s v="OUT"/>
    <s v="OUTROS"/>
    <n v="3717059084"/>
    <x v="0"/>
    <s v="97.87"/>
    <s v="78.29"/>
    <n v="471"/>
    <s v="NÃO LOCALIZADO"/>
    <s v="TELEFONES SEM ATENDIMENTO"/>
    <n v="0"/>
    <x v="5"/>
    <s v="13.44"/>
    <s v="gleise"/>
    <s v="Acima de 361"/>
    <s v="ACIONAMENTO"/>
    <x v="0"/>
  </r>
  <r>
    <s v="COGECOM"/>
    <n v="30049730"/>
    <s v="INTERBEER COMÉRCIO DE BEBIDAS EIRELI"/>
    <s v="OUT"/>
    <s v="OUTROS"/>
    <n v="22315166000130"/>
    <x v="0"/>
    <s v="5205.01"/>
    <s v="1643.41"/>
    <n v="740"/>
    <s v="SEM INTERESSE"/>
    <s v="NEGOCIAÇÃO VIA TELEFONE"/>
    <n v="0"/>
    <x v="5"/>
    <s v="16.29"/>
    <s v="anakeppe"/>
    <s v="Acima de 361"/>
    <s v="CPC"/>
    <x v="1"/>
  </r>
  <r>
    <s v="COGECOM"/>
    <n v="43194712"/>
    <s v="IVANDRO JOSE PISSOLO"/>
    <s v="OUT"/>
    <s v="OUTROS"/>
    <n v="2463021942"/>
    <x v="0"/>
    <s v="226.19"/>
    <s v="114.85"/>
    <n v="531"/>
    <s v="NÃO LOCALIZADO"/>
    <s v="TELEFONES SEM ATENDIMENTO"/>
    <n v="0"/>
    <x v="5"/>
    <s v="15.49"/>
    <s v="gleise"/>
    <s v="Acima de 361"/>
    <s v="ACIONAMENTO"/>
    <x v="0"/>
  </r>
  <r>
    <s v="COGECOM"/>
    <n v="3095383136"/>
    <s v="IVETE MARIA GONÇALVES VIEIRA"/>
    <s v="OUT"/>
    <s v="OUTROS"/>
    <n v="65525493004"/>
    <x v="0"/>
    <s v="694.35"/>
    <s v="488.57"/>
    <n v="384"/>
    <s v="NÃO LOCALIZADO"/>
    <s v="TELEFONES SEM ATENDIMENTO"/>
    <n v="0"/>
    <x v="5"/>
    <s v="11.37"/>
    <s v="gleise"/>
    <s v="Acima de 361"/>
    <s v="ACIONAMENTO"/>
    <x v="0"/>
  </r>
  <r>
    <s v="COGECOM"/>
    <n v="41830190"/>
    <s v="JANAINA PARENTE"/>
    <s v="OUT"/>
    <s v="OUTROS"/>
    <n v="3548092969"/>
    <x v="0"/>
    <s v="3569.98"/>
    <s v="677.38"/>
    <n v="708"/>
    <s v="SEM INTERESSE"/>
    <s v="NEGOCIAÇÃO VIA TELEFONE"/>
    <n v="0"/>
    <x v="5"/>
    <s v="16.33"/>
    <s v="anakeppe"/>
    <s v="Acima de 361"/>
    <s v="CPC"/>
    <x v="1"/>
  </r>
  <r>
    <s v="COGECOM"/>
    <n v="3001840055"/>
    <s v="JEFFERSON MARCELO FONSECA"/>
    <s v="OUT"/>
    <s v="OUTROS"/>
    <n v="12033346641"/>
    <x v="0"/>
    <s v="78.64"/>
    <s v="78.64"/>
    <n v="230"/>
    <s v="NÃO LOCALIZADO"/>
    <s v="TELEFONES SEM ATENDIMENTO"/>
    <n v="0"/>
    <x v="5"/>
    <s v="13.53"/>
    <s v="gleise"/>
    <s v="181 a 360"/>
    <s v="ACIONAMENTO"/>
    <x v="0"/>
  </r>
  <r>
    <s v="COGECOM"/>
    <n v="107467313"/>
    <s v="JESSICA FERNANDA GOMES"/>
    <s v="OUT"/>
    <s v="OUTROS"/>
    <n v="10585810907"/>
    <x v="0"/>
    <s v="980.73"/>
    <s v="418.57"/>
    <n v="543"/>
    <s v="NÃO LOCALIZADO"/>
    <s v="TELEFONES SEM ATENDIMENTO"/>
    <n v="0"/>
    <x v="5"/>
    <s v="15.50"/>
    <s v="gleise"/>
    <s v="Acima de 361"/>
    <s v="ACIONAMENTO"/>
    <x v="0"/>
  </r>
  <r>
    <s v="COGECOM"/>
    <n v="21413909"/>
    <s v="JOACYR CEZAR PETERS"/>
    <s v="OUT"/>
    <s v="OUTROS"/>
    <n v="47947330972"/>
    <x v="0"/>
    <s v="1136.81"/>
    <s v="214.43"/>
    <n v="681"/>
    <s v="NÃO LOCALIZADO"/>
    <s v="TELEFONES SEM ATENDIMENTO"/>
    <n v="0"/>
    <x v="5"/>
    <s v="13.53"/>
    <s v="gleise"/>
    <s v="Acima de 361"/>
    <s v="ACIONAMENTO"/>
    <x v="0"/>
  </r>
  <r>
    <s v="COGECOM"/>
    <n v="10029287446"/>
    <s v="JOEL JUNIO DE SOUZA COUTINHO"/>
    <s v="OUT"/>
    <s v="OUTROS"/>
    <n v="2966551127"/>
    <x v="0"/>
    <s v="295.47"/>
    <s v="50.90"/>
    <n v="362"/>
    <s v="NÃO LOCALIZADO"/>
    <s v="TELEFONES SEM ATENDIMENTO"/>
    <n v="0"/>
    <x v="5"/>
    <s v="11.27"/>
    <s v="gleise"/>
    <s v="Acima de 361"/>
    <s v="ACIONAMENTO"/>
    <x v="0"/>
  </r>
  <r>
    <s v="COGECOM"/>
    <n v="91117941"/>
    <s v="JONES SERGIO LAZZAROTTO"/>
    <s v="OUT"/>
    <s v="OUTROS"/>
    <n v="4611698947"/>
    <x v="0"/>
    <s v="688.10"/>
    <s v="118.92"/>
    <n v="699"/>
    <s v="AG RESPOSTA 1º CONTATO"/>
    <s v="ENVIADO MSG/E-MAIL 1º CONTATO"/>
    <n v="0"/>
    <x v="5"/>
    <s v="16.10"/>
    <s v="l.quadros"/>
    <s v="Acima de 361"/>
    <s v="ACIONAMENTO"/>
    <x v="4"/>
  </r>
  <r>
    <s v="COGECOM"/>
    <n v="3013374151"/>
    <s v="JOSIANE BORGES CONSTANTINO"/>
    <s v="OUT"/>
    <s v="OUTROS"/>
    <n v="12127650603"/>
    <x v="0"/>
    <s v="157.09"/>
    <s v="146.56"/>
    <n v="186"/>
    <s v="NÃO LOCALIZADO"/>
    <s v="TELEFONES SEM ATENDIMENTO"/>
    <n v="0"/>
    <x v="5"/>
    <s v="13.54"/>
    <s v="gleise"/>
    <s v="181 a 360"/>
    <s v="ACIONAMENTO"/>
    <x v="0"/>
  </r>
  <r>
    <s v="COGECOM"/>
    <n v="3085281009"/>
    <s v="JOSILANE DOS SANTOS RIBEIRO DE OLIVEIRA"/>
    <s v="OUT"/>
    <s v="OUTROS"/>
    <n v="10346689783"/>
    <x v="0"/>
    <s v="1553.31"/>
    <s v="548.60"/>
    <n v="324"/>
    <s v="NÃO LOCALIZADO"/>
    <s v="TELEFONES SEM ATENDIMENTO"/>
    <n v="0"/>
    <x v="5"/>
    <s v="15.52"/>
    <s v="gleise"/>
    <s v="181 a 360"/>
    <s v="ACIONAMENTO"/>
    <x v="0"/>
  </r>
  <r>
    <s v="COGECOM"/>
    <n v="42458031"/>
    <s v="JULIANO DIAS MARTINS"/>
    <s v="OUT"/>
    <s v="OUTROS"/>
    <n v="28695319822"/>
    <x v="0"/>
    <s v="1302.22"/>
    <s v="471.10"/>
    <n v="309"/>
    <s v="NÃO LOCALIZADO"/>
    <s v="TELEFONES SEM ATENDIMENTO"/>
    <n v="0"/>
    <x v="5"/>
    <s v="16.25"/>
    <s v="gleise"/>
    <s v="181 a 360"/>
    <s v="ACIONAMENTO"/>
    <x v="0"/>
  </r>
  <r>
    <s v="COGECOM"/>
    <n v="3001445018"/>
    <s v="JULIANO JESUS DE SOUZA"/>
    <s v="OUT"/>
    <s v="OUTROS"/>
    <n v="7142222670"/>
    <x v="0"/>
    <s v="1424.23"/>
    <s v="217.92"/>
    <n v="646"/>
    <s v="NÃO LOCALIZADO"/>
    <s v="TELEFONES SEM ATENDIMENTO"/>
    <n v="0"/>
    <x v="5"/>
    <s v="10.51"/>
    <s v="gleise"/>
    <s v="Acima de 361"/>
    <s v="ACIONAMENTO"/>
    <x v="0"/>
  </r>
  <r>
    <s v="COGECOM"/>
    <n v="51358910"/>
    <s v="JULIANO LEVI DE SOUZA"/>
    <s v="OUT"/>
    <s v="OUTROS"/>
    <n v="5677119946"/>
    <x v="0"/>
    <s v="117.45"/>
    <s v="63.50"/>
    <n v="608"/>
    <m/>
    <s v="TELEFONES SEM ATENDIMENTO"/>
    <n v="0"/>
    <x v="5"/>
    <s v="13.55"/>
    <s v="gleise"/>
    <s v="Acima de 361"/>
    <s v="ACIONAMENTO"/>
    <x v="4"/>
  </r>
  <r>
    <s v="COGECOM"/>
    <n v="83240411"/>
    <s v="JULIO CEZAR DA SILVA"/>
    <s v="OUT"/>
    <s v="OUTROS"/>
    <n v="99515903904"/>
    <x v="0"/>
    <s v="2186.13"/>
    <s v="581.54"/>
    <n v="673"/>
    <s v="NÃO LOCALIZADO"/>
    <s v="TELEFONES SEM ATENDIMENTO"/>
    <n v="0"/>
    <x v="5"/>
    <s v="13.56"/>
    <s v="gleise"/>
    <s v="Acima de 361"/>
    <s v="ACIONAMENTO"/>
    <x v="0"/>
  </r>
  <r>
    <s v="COGECOM"/>
    <n v="1390136453"/>
    <s v="KATIA MARIA FARIAS DE MORAES"/>
    <s v="OUT"/>
    <s v="OUTROS"/>
    <n v="58807810115"/>
    <x v="0"/>
    <s v="748.51"/>
    <s v="73.29"/>
    <n v="362"/>
    <s v="SEM INTERESSE"/>
    <s v="NEGOCIAÇÃO VIA TELEFONE"/>
    <n v="0"/>
    <x v="5"/>
    <s v="15.36"/>
    <s v="gleise"/>
    <s v="Acima de 361"/>
    <s v="CPC"/>
    <x v="1"/>
  </r>
  <r>
    <s v="COGECOM"/>
    <n v="3085754889"/>
    <s v="LA MADRE COCINA MEXICANA LTDA ME"/>
    <s v="OUT"/>
    <s v="OUTROS"/>
    <n v="26270460000123"/>
    <x v="0"/>
    <s v="349.79"/>
    <s v="349.79"/>
    <n v="497"/>
    <s v="NÃO LOCALIZADO"/>
    <s v="TELEFONES SEM ATENDIMENTO"/>
    <n v="0"/>
    <x v="5"/>
    <s v="10.50"/>
    <s v="gleise"/>
    <s v="Acima de 361"/>
    <s v="ACIONAMENTO"/>
    <x v="0"/>
  </r>
  <r>
    <s v="COGECOM"/>
    <n v="3012714362"/>
    <s v="LAIANNY BARROS SILVA FERNANDES"/>
    <s v="OUT"/>
    <s v="OUTROS"/>
    <n v="10411914642"/>
    <x v="0"/>
    <s v="522.96"/>
    <s v="522.96"/>
    <n v="529"/>
    <s v="NÃO LOCALIZADO"/>
    <s v="TELEFONES SEM ATENDIMENTO"/>
    <n v="0"/>
    <x v="5"/>
    <s v="11.36"/>
    <s v="gleise"/>
    <s v="Acima de 361"/>
    <s v="ACIONAMENTO"/>
    <x v="0"/>
  </r>
  <r>
    <s v="COGECOM"/>
    <n v="3015036565"/>
    <s v="LEANDRO MENDES BORGES"/>
    <s v="OUT"/>
    <s v="OUTROS"/>
    <n v="1899390529"/>
    <x v="0"/>
    <s v="484.64"/>
    <s v="162.56"/>
    <n v="373"/>
    <s v="SEM INTERESSE"/>
    <s v="NEGOCIAÇÃO VIA TELEFONE"/>
    <n v="0"/>
    <x v="5"/>
    <s v="13.10"/>
    <s v="gleise"/>
    <s v="Acima de 361"/>
    <s v="CPC"/>
    <x v="1"/>
  </r>
  <r>
    <s v="COGECOM"/>
    <n v="76565777"/>
    <s v="LENARA CRISTINE DE OLIVEIRA"/>
    <s v="OUT"/>
    <s v="OUTROS"/>
    <n v="7911587990"/>
    <x v="0"/>
    <s v="47.03"/>
    <s v="47.03"/>
    <n v="434"/>
    <s v="NÃO LOCALIZADO"/>
    <s v="TELEFONES SEM ATENDIMENTO"/>
    <n v="0"/>
    <x v="5"/>
    <s v="15.53"/>
    <s v="gleise"/>
    <s v="Acima de 361"/>
    <s v="ACIONAMENTO"/>
    <x v="0"/>
  </r>
  <r>
    <s v="COGECOM"/>
    <n v="86851578"/>
    <s v="LETICIA PEREIRA HOSCHER"/>
    <s v="OUT"/>
    <s v="OUTROS"/>
    <n v="7101225942"/>
    <x v="0"/>
    <s v="1926.36"/>
    <s v="615.57"/>
    <n v="278"/>
    <s v="NÃO LOCALIZADO"/>
    <s v="TELEFONES SEM ATENDIMENTO"/>
    <n v="0"/>
    <x v="5"/>
    <s v="13.57"/>
    <s v="gleise"/>
    <s v="181 a 360"/>
    <s v="ACIONAMENTO"/>
    <x v="0"/>
  </r>
  <r>
    <s v="COGECOM"/>
    <n v="2312310"/>
    <s v="LINDSAY DURAZZO"/>
    <s v="OUT"/>
    <s v="OUTROS"/>
    <n v="6002187910"/>
    <x v="0"/>
    <s v="636.86"/>
    <s v="167.60"/>
    <n v="380"/>
    <s v="NÃO LOCALIZADO"/>
    <s v="TELEFONES SEM ATENDIMENTO"/>
    <n v="0"/>
    <x v="5"/>
    <s v="13.58"/>
    <s v="gleise"/>
    <s v="Acima de 361"/>
    <s v="ACIONAMENTO"/>
    <x v="0"/>
  </r>
  <r>
    <s v="COGECOM"/>
    <n v="48379516"/>
    <s v="LUCAS DAMAZIO MATTJIE"/>
    <s v="OUT"/>
    <s v="OUTROS"/>
    <n v="917831942"/>
    <x v="0"/>
    <s v="1417.63"/>
    <s v="464.45"/>
    <n v="621"/>
    <s v="NÃO LOCALIZADO"/>
    <s v="TELEFONES SEM ATENDIMENTO"/>
    <n v="0"/>
    <x v="5"/>
    <s v="9.23"/>
    <s v="gleise"/>
    <s v="Acima de 361"/>
    <s v="ACIONAMENTO"/>
    <x v="0"/>
  </r>
  <r>
    <s v="COGECOM"/>
    <n v="4002465663"/>
    <s v="LUCAS MAZZUCO DO AMARAL"/>
    <s v="OUT"/>
    <s v="OUTROS"/>
    <n v="42379932000137"/>
    <x v="0"/>
    <s v="1271.45"/>
    <s v="742.85"/>
    <n v="565"/>
    <s v="NÃO LOCALIZADO"/>
    <s v="TELEFONES SEM ATENDIMENTO"/>
    <n v="0"/>
    <x v="5"/>
    <s v="13.58"/>
    <s v="gleise"/>
    <s v="Acima de 361"/>
    <s v="ACIONAMENTO"/>
    <x v="0"/>
  </r>
  <r>
    <s v="COGECOM"/>
    <n v="3092174689"/>
    <s v="LUCIANO EURICO LERSCH"/>
    <s v="OUT"/>
    <s v="OUTROS"/>
    <n v="94726612034"/>
    <x v="0"/>
    <s v="1064.49"/>
    <s v="662.50"/>
    <n v="385"/>
    <s v="NÃO LOCALIZADO"/>
    <s v="TELEFONES SEM ATENDIMENTO"/>
    <n v="0"/>
    <x v="5"/>
    <s v="16.23"/>
    <s v="gleise"/>
    <s v="Acima de 361"/>
    <s v="ACIONAMENTO"/>
    <x v="0"/>
  </r>
  <r>
    <s v="COGECOM"/>
    <n v="94831084"/>
    <s v="LUHAN SILVA RIBEIRO"/>
    <s v="OUT"/>
    <s v="OUTROS"/>
    <n v="47647417843"/>
    <x v="0"/>
    <s v="338.77"/>
    <s v="71.07"/>
    <n v="518"/>
    <s v="NÃO LOCALIZADO"/>
    <s v="TELEFONES SEM ATENDIMENTO"/>
    <n v="0"/>
    <x v="5"/>
    <s v="13.59"/>
    <s v="gleise"/>
    <s v="Acima de 361"/>
    <s v="ACIONAMENTO"/>
    <x v="0"/>
  </r>
  <r>
    <s v="COGECOM"/>
    <n v="10036821920"/>
    <s v="LUIZ ELIDIO SILVA JUNIOR"/>
    <s v="OUT"/>
    <s v="OUTROS"/>
    <n v="75273780187"/>
    <x v="0"/>
    <s v="547.60"/>
    <s v="136.15"/>
    <n v="393"/>
    <s v="NÃO LOCALIZADO"/>
    <s v="TELEFONES SEM ATENDIMENTO"/>
    <n v="0"/>
    <x v="5"/>
    <s v="15.54"/>
    <s v="gleise"/>
    <s v="Acima de 361"/>
    <s v="ACIONAMENTO"/>
    <x v="0"/>
  </r>
  <r>
    <s v="COGECOM"/>
    <n v="51384075"/>
    <s v="LUIZ FELIPE CECCON FRIEDRICH"/>
    <s v="OUT"/>
    <s v="OUTROS"/>
    <n v="6740793964"/>
    <x v="0"/>
    <s v="5877.20"/>
    <s v="2067.13"/>
    <n v="752"/>
    <s v="NÃO LOCALIZADO"/>
    <s v="TELEFONES SEM ATENDIMENTO"/>
    <n v="0"/>
    <x v="5"/>
    <s v="10.41"/>
    <s v="gleise"/>
    <s v="Acima de 361"/>
    <s v="ACIONAMENTO"/>
    <x v="0"/>
  </r>
  <r>
    <s v="COGECOM"/>
    <n v="42162191"/>
    <s v="LUIZ HENRIQUE DA ROSA"/>
    <s v="OUT"/>
    <s v="OUTROS"/>
    <n v="77198832920"/>
    <x v="0"/>
    <s v="148.88"/>
    <s v="152.89"/>
    <n v="186"/>
    <s v="NÃO LOCALIZADO"/>
    <s v="TELEFONES SEM ATENDIMENTO"/>
    <n v="0"/>
    <x v="5"/>
    <s v="15.56"/>
    <s v="gleise"/>
    <s v="181 a 360"/>
    <s v="ACIONAMENTO"/>
    <x v="0"/>
  </r>
  <r>
    <s v="COGECOM"/>
    <n v="53282342"/>
    <s v="MARCELA CRISTINA MENEGUETTE"/>
    <s v="OUT"/>
    <s v="OUTROS"/>
    <n v="9466417908"/>
    <x v="0"/>
    <s v="167.91"/>
    <s v="30.13"/>
    <n v="674"/>
    <s v="NÃO LOCALIZADO"/>
    <s v="TELEFONES SEM ATENDIMENTO"/>
    <n v="0"/>
    <x v="5"/>
    <s v="14.00"/>
    <s v="gleise"/>
    <s v="Acima de 361"/>
    <s v="ACIONAMENTO"/>
    <x v="0"/>
  </r>
  <r>
    <s v="COGECOM"/>
    <n v="10008784114"/>
    <s v="MARCELO SILVA GUIMARAES"/>
    <s v="OUT"/>
    <s v="OUTROS"/>
    <n v="98353373149"/>
    <x v="0"/>
    <s v="1159.81"/>
    <s v="76.91"/>
    <n v="255"/>
    <s v="NÃO LOCALIZADO"/>
    <s v="TELEFONES SEM ATENDIMENTO"/>
    <n v="0"/>
    <x v="5"/>
    <s v="14.00"/>
    <s v="gleise"/>
    <s v="181 a 360"/>
    <s v="ACIONAMENTO"/>
    <x v="0"/>
  </r>
  <r>
    <s v="COGECOM"/>
    <n v="106797158"/>
    <s v="MARCIO ENRIQUE MOHYLSKI"/>
    <s v="OUT"/>
    <s v="OUTROS"/>
    <n v="27005463854"/>
    <x v="0"/>
    <s v="827.87"/>
    <s v="272.18"/>
    <n v="605"/>
    <s v="SEM INTERESSE"/>
    <s v="NEGOCIAÇÃO VIA TELEFONE"/>
    <n v="0"/>
    <x v="5"/>
    <s v="16.35"/>
    <s v="anakeppe"/>
    <s v="Acima de 361"/>
    <s v="CPC"/>
    <x v="1"/>
  </r>
  <r>
    <s v="COGECOM"/>
    <n v="98847252"/>
    <s v="MARCOS DIEGO DA SILVA"/>
    <s v="OUT"/>
    <s v="OUTROS"/>
    <n v="5944065958"/>
    <x v="0"/>
    <s v="1037.63"/>
    <s v="773.64"/>
    <n v="446"/>
    <s v="NÃO LOCALIZADO"/>
    <s v="TELEFONES SEM ATENDIMENTO"/>
    <n v="0"/>
    <x v="5"/>
    <s v="16.22"/>
    <s v="gleise"/>
    <s v="Acima de 361"/>
    <s v="ACIONAMENTO"/>
    <x v="0"/>
  </r>
  <r>
    <s v="COGECOM"/>
    <n v="10020170350"/>
    <s v="MARCOS SOUSA DOS ANJOS"/>
    <s v="OUT"/>
    <s v="OUTROS"/>
    <n v="99876507249"/>
    <x v="0"/>
    <s v="925.67"/>
    <s v="68.01"/>
    <n v="312"/>
    <s v="NÃO LOCALIZADO"/>
    <s v="TELEFONES SEM ATENDIMENTO"/>
    <n v="0"/>
    <x v="5"/>
    <s v="14.02"/>
    <s v="gleise"/>
    <s v="181 a 360"/>
    <s v="ACIONAMENTO"/>
    <x v="0"/>
  </r>
  <r>
    <s v="COGECOM"/>
    <n v="10016458921"/>
    <s v="MARIA DA CONCEICAO MORAES"/>
    <s v="OUT"/>
    <s v="OUTROS"/>
    <n v="98374745304"/>
    <x v="0"/>
    <s v="173.17"/>
    <s v="179.14"/>
    <n v="196"/>
    <s v="NÃO LOCALIZADO"/>
    <s v="TELEFONES SEM ATENDIMENTO"/>
    <n v="0"/>
    <x v="5"/>
    <s v="10.52"/>
    <s v="gleise"/>
    <s v="181 a 360"/>
    <s v="ACIONAMENTO"/>
    <x v="0"/>
  </r>
  <r>
    <s v="COGECOM"/>
    <n v="81031408"/>
    <s v="MARIA DANIELLE ZAKALUCHEN"/>
    <s v="OUT"/>
    <s v="OUTROS"/>
    <n v="5298793959"/>
    <x v="0"/>
    <s v="557.21"/>
    <s v="163.24"/>
    <n v="319"/>
    <s v="NÃO LOCALIZADO"/>
    <s v="TELEFONES SEM ATENDIMENTO"/>
    <n v="0"/>
    <x v="5"/>
    <s v="14.03"/>
    <s v="gleise"/>
    <s v="181 a 360"/>
    <s v="ACIONAMENTO"/>
    <x v="0"/>
  </r>
  <r>
    <s v="COGECOM"/>
    <n v="3010090940"/>
    <s v="MARIA LUISA DINIZ DA SILVA"/>
    <s v="OUT"/>
    <s v="OUTROS"/>
    <n v="5825089675"/>
    <x v="0"/>
    <s v="518.02"/>
    <s v="88.76"/>
    <n v="276"/>
    <s v="AG RESPOSTA 1º CONTATO"/>
    <s v="ENVIADO MSG/E-MAIL 1º CONTATO"/>
    <n v="0"/>
    <x v="5"/>
    <s v="14.07"/>
    <s v="l.quadros"/>
    <s v="181 a 360"/>
    <s v="ACIONAMENTO"/>
    <x v="4"/>
  </r>
  <r>
    <s v="COGECOM"/>
    <n v="3283810"/>
    <s v="MARIANA VIEIRA DA ROCHA"/>
    <s v="OUT"/>
    <s v="OUTROS"/>
    <n v="5367361706"/>
    <x v="0"/>
    <s v="1018.79"/>
    <s v="348.00"/>
    <n v="252"/>
    <s v="NÃO LOCALIZADO"/>
    <s v="TELEFONES SEM ATENDIMENTO"/>
    <n v="0"/>
    <x v="5"/>
    <s v="14.03"/>
    <s v="gleise"/>
    <s v="181 a 360"/>
    <s v="ACIONAMENTO"/>
    <x v="0"/>
  </r>
  <r>
    <s v="COGECOM"/>
    <n v="20467851"/>
    <s v="MARINA MAURER GIL"/>
    <s v="OUT"/>
    <s v="OUTROS"/>
    <n v="9053348921"/>
    <x v="0"/>
    <s v="479.02"/>
    <s v="161.56"/>
    <n v="534"/>
    <s v="AG RESPOSTA 1º CONTATO"/>
    <s v="ENVIADO MSG/E-MAIL 1º CONTATO"/>
    <n v="0"/>
    <x v="5"/>
    <s v="11.56"/>
    <s v="l.quadros"/>
    <s v="Acima de 361"/>
    <s v="ACIONAMENTO"/>
    <x v="4"/>
  </r>
  <r>
    <s v="COGECOM"/>
    <n v="10025687334"/>
    <s v="MARLIETE PASTANA DOS ANJOS"/>
    <s v="OUT"/>
    <s v="OUTROS"/>
    <n v="93557078191"/>
    <x v="0"/>
    <s v="185.71"/>
    <s v="89.88"/>
    <n v="312"/>
    <s v="AG RESPOSTA 1º CONTATO"/>
    <s v="ENVIADO MSG/E-MAIL 1º CONTATO"/>
    <n v="0"/>
    <x v="5"/>
    <s v="14.12"/>
    <s v="l.quadros"/>
    <s v="181 a 360"/>
    <s v="ACIONAMENTO"/>
    <x v="4"/>
  </r>
  <r>
    <s v="COGECOM"/>
    <n v="104726288"/>
    <s v="MARLON JEFFERSON BRUNO DOS SANTOS"/>
    <s v="OUT"/>
    <s v="OUTROS"/>
    <n v="9147474955"/>
    <x v="0"/>
    <s v="413.68"/>
    <s v="106.59"/>
    <n v="236"/>
    <s v="NÃO LOCALIZADO"/>
    <s v="TELEFONES SEM ATENDIMENTO"/>
    <n v="0"/>
    <x v="5"/>
    <s v="14.04"/>
    <s v="gleise"/>
    <s v="181 a 360"/>
    <s v="ACIONAMENTO"/>
    <x v="0"/>
  </r>
  <r>
    <s v="COGECOM"/>
    <n v="44679396"/>
    <s v="MATHEUS MARQUES LIMA"/>
    <s v="OUT"/>
    <s v="OUTROS"/>
    <n v="15987903742"/>
    <x v="0"/>
    <s v="408.99"/>
    <s v="243.81"/>
    <n v="218"/>
    <s v="NÃO LOCALIZADO"/>
    <s v="TELEFONES SEM ATENDIMENTO"/>
    <n v="0"/>
    <x v="5"/>
    <s v="11.16"/>
    <s v="gleise"/>
    <s v="181 a 360"/>
    <s v="ACIONAMENTO"/>
    <x v="0"/>
  </r>
  <r>
    <s v="COGECOM"/>
    <n v="3007557047"/>
    <s v="MATTERSON FELIPE VIEIRA BATISTA"/>
    <s v="OUT"/>
    <s v="OUTROS"/>
    <n v="7720916689"/>
    <x v="0"/>
    <s v="314.78"/>
    <s v="70.43"/>
    <n v="315"/>
    <s v="NÃO LOCALIZADO"/>
    <s v="TELEFONES SEM ATENDIMENTO"/>
    <n v="0"/>
    <x v="5"/>
    <s v="14.04"/>
    <s v="gleise"/>
    <s v="181 a 360"/>
    <s v="ACIONAMENTO"/>
    <x v="0"/>
  </r>
  <r>
    <s v="COGECOM"/>
    <n v="3010461769"/>
    <s v="MAYKELL PATRICK  QUINTINO DA SILVA"/>
    <s v="OUT"/>
    <s v="OUTROS"/>
    <n v="7026165674"/>
    <x v="0"/>
    <s v="1200.19"/>
    <s v="138.28"/>
    <n v="328"/>
    <s v="NÃO LOCALIZADO"/>
    <s v="TELEFONES SEM ATENDIMENTO"/>
    <n v="0"/>
    <x v="5"/>
    <s v="13.21"/>
    <s v="gleise"/>
    <s v="181 a 360"/>
    <s v="ACIONAMENTO"/>
    <x v="0"/>
  </r>
  <r>
    <s v="COGECOM"/>
    <n v="10009455076"/>
    <s v="MIKAELLA CINTRA BRITO"/>
    <s v="OUT"/>
    <s v="OUTROS"/>
    <n v="3702867155"/>
    <x v="0"/>
    <s v="702.52"/>
    <s v="66.53"/>
    <n v="217"/>
    <s v="NÃO LOCALIZADO"/>
    <s v="TELEFONES SEM ATENDIMENTO"/>
    <n v="0"/>
    <x v="5"/>
    <s v="11.25"/>
    <s v="gleise"/>
    <s v="181 a 360"/>
    <s v="ACIONAMENTO"/>
    <x v="0"/>
  </r>
  <r>
    <s v="COGECOM"/>
    <n v="3002964142"/>
    <s v="MOISES ROMUALDO PINTO CARNEIRO NETO"/>
    <s v="OUT"/>
    <s v="OUTROS"/>
    <n v="2683869606"/>
    <x v="0"/>
    <s v="812.09"/>
    <s v="137.17"/>
    <n v="312"/>
    <s v="NÃO LOCALIZADO"/>
    <s v="TELEFONES SEM ATENDIMENTO"/>
    <n v="0"/>
    <x v="5"/>
    <s v="15.57"/>
    <s v="gleise"/>
    <s v="181 a 360"/>
    <s v="ACIONAMENTO"/>
    <x v="0"/>
  </r>
  <r>
    <s v="COGECOM"/>
    <n v="10009255980"/>
    <s v="MORGANA MORAES BRUENK TAVARES"/>
    <s v="OUT"/>
    <s v="OUTROS"/>
    <n v="70973890100"/>
    <x v="0"/>
    <s v="274.07"/>
    <s v="46.15"/>
    <n v="213"/>
    <s v="NÃO LOCALIZADO"/>
    <s v="TELEFONES SEM ATENDIMENTO"/>
    <n v="0"/>
    <x v="5"/>
    <s v="14.05"/>
    <s v="gleise"/>
    <s v="181 a 360"/>
    <s v="ACIONAMENTO"/>
    <x v="0"/>
  </r>
  <r>
    <s v="COGECOM"/>
    <n v="3082948014"/>
    <s v="NEIVA MARIA SCHERER"/>
    <s v="OUT"/>
    <s v="OUTROS"/>
    <n v="68840578072"/>
    <x v="0"/>
    <s v="3927.75"/>
    <s v="967.96"/>
    <n v="637"/>
    <s v="NÃO LOCALIZADO"/>
    <s v="TELEFONES SEM ATENDIMENTO"/>
    <n v="0"/>
    <x v="5"/>
    <s v="10.21"/>
    <s v="gleise"/>
    <s v="Acima de 361"/>
    <s v="ACIONAMENTO"/>
    <x v="0"/>
  </r>
  <r>
    <s v="COGECOM"/>
    <n v="5605024"/>
    <s v="NELSON GRABOWSKI  EPP"/>
    <s v="OUT"/>
    <s v="OUTROS"/>
    <n v="3812731000120"/>
    <x v="0"/>
    <s v="294.37"/>
    <s v="294.37"/>
    <n v="1304"/>
    <s v="NÃO LOCALIZADO"/>
    <s v="TELEFONES SEM ATENDIMENTO"/>
    <n v="0"/>
    <x v="5"/>
    <s v="14.06"/>
    <s v="gleise"/>
    <s v="Acima de 361"/>
    <s v="ACIONAMENTO"/>
    <x v="0"/>
  </r>
  <r>
    <s v="COGECOM"/>
    <n v="55050590"/>
    <s v="NODANA ALIMENTOS LTDA"/>
    <s v="OUT"/>
    <s v="OUTROS"/>
    <n v="7138906000116"/>
    <x v="0"/>
    <s v="1815.41"/>
    <s v="1815.41"/>
    <n v="1071"/>
    <s v="NÃO LOCALIZADO"/>
    <s v="TELEFONES SEM ATENDIMENTO"/>
    <n v="0"/>
    <x v="5"/>
    <s v="11.31"/>
    <s v="gleise"/>
    <s v="Acima de 361"/>
    <s v="ACIONAMENTO"/>
    <x v="0"/>
  </r>
  <r>
    <s v="COGECOM"/>
    <n v="106584529"/>
    <s v="PAULO RICARDO REPECKA"/>
    <s v="OUT"/>
    <s v="OUTROS"/>
    <n v="4941429958"/>
    <x v="0"/>
    <s v="1149.78"/>
    <s v="184.28"/>
    <n v="555"/>
    <s v="SEM INTERESSE"/>
    <s v="NEGOCIAÇÃO VIA TELEFONE"/>
    <n v="0"/>
    <x v="5"/>
    <s v="11.54"/>
    <s v="gleise"/>
    <s v="Acima de 361"/>
    <s v="CPC"/>
    <x v="1"/>
  </r>
  <r>
    <s v="COGECOM"/>
    <n v="79371507"/>
    <s v="QUADROS COMERCIO DE GENEROS ALIMENTICIOS LTDA"/>
    <s v="OUT"/>
    <s v="OUTROS"/>
    <n v="9085141000129"/>
    <x v="0"/>
    <s v="3316.03"/>
    <s v="82.18"/>
    <n v="1118"/>
    <s v="AG RESPOSTA 1º CONTATO"/>
    <s v="ENVIADO MSG/E-MAIL 1º CONTATO"/>
    <n v="0"/>
    <x v="5"/>
    <s v="16.18"/>
    <s v="l.quadros"/>
    <s v="Acima de 361"/>
    <s v="ACIONAMENTO"/>
    <x v="4"/>
  </r>
  <r>
    <s v="COGECOM"/>
    <n v="92862608"/>
    <s v="QUEZIA CAROLINE CORREIA SCARCO"/>
    <s v="OUT"/>
    <s v="OUTROS"/>
    <n v="9637661980"/>
    <x v="0"/>
    <s v="1207.65"/>
    <s v="213.15"/>
    <n v="285"/>
    <s v="NÃO LOCALIZADO"/>
    <s v="TELEFONES SEM ATENDIMENTO"/>
    <n v="0"/>
    <x v="5"/>
    <s v="11.49"/>
    <s v="gleise"/>
    <s v="181 a 360"/>
    <s v="ACIONAMENTO"/>
    <x v="0"/>
  </r>
  <r>
    <s v="COGECOM"/>
    <n v="3082048901"/>
    <s v="RAFAEL RAUPP AGUIAR"/>
    <s v="OUT"/>
    <s v="OUTROS"/>
    <n v="81490780025"/>
    <x v="0"/>
    <s v="2635.31"/>
    <s v="368.53"/>
    <n v="341"/>
    <s v="NÃO LOCALIZADO"/>
    <s v="TELEFONES SEM ATENDIMENTO"/>
    <n v="0"/>
    <x v="5"/>
    <s v="16.30"/>
    <s v="gleise"/>
    <s v="181 a 360"/>
    <s v="ACIONAMENTO"/>
    <x v="0"/>
  </r>
  <r>
    <s v="COGECOM"/>
    <n v="66087570"/>
    <s v="RAFAELA PIRES DE GOES"/>
    <s v="OUT"/>
    <s v="OUTROS"/>
    <n v="7356753928"/>
    <x v="0"/>
    <s v="1526.24"/>
    <s v="248.38"/>
    <n v="479"/>
    <s v="NÃO LOCALIZADO"/>
    <s v="TELEFONES SEM ATENDIMENTO"/>
    <n v="0"/>
    <x v="5"/>
    <s v="14.09"/>
    <s v="gleise"/>
    <s v="Acima de 361"/>
    <s v="ACIONAMENTO"/>
    <x v="0"/>
  </r>
  <r>
    <s v="COGECOM"/>
    <n v="72216778"/>
    <s v="RENATA ALVES DOS SANTOS"/>
    <s v="OUT"/>
    <s v="OUTROS"/>
    <n v="4596473935"/>
    <x v="0"/>
    <s v="597.01"/>
    <s v="126.87"/>
    <n v="323"/>
    <s v="NÃO LOCALIZADO"/>
    <s v="TELEFONES SEM ATENDIMENTO"/>
    <n v="0"/>
    <x v="5"/>
    <s v="14.09"/>
    <s v="gleise"/>
    <s v="181 a 360"/>
    <s v="ACIONAMENTO"/>
    <x v="0"/>
  </r>
  <r>
    <s v="COGECOM"/>
    <n v="110375262"/>
    <s v="RHAYSA EMANUELLE WAWRUK"/>
    <s v="OUT"/>
    <s v="OUTROS"/>
    <n v="4345702909"/>
    <x v="0"/>
    <s v="677.59"/>
    <s v="154.40"/>
    <n v="189"/>
    <s v="SEM INTERESSE"/>
    <s v="NEGOCIAÇÃO VIA TELEFONE"/>
    <n v="0"/>
    <x v="5"/>
    <s v="11.19"/>
    <s v="gleise"/>
    <s v="181 a 360"/>
    <s v="CPC"/>
    <x v="1"/>
  </r>
  <r>
    <s v="COGECOM"/>
    <n v="3002166173"/>
    <s v="RICARDO ANTONIO DUARTE"/>
    <s v="OUT"/>
    <s v="OUTROS"/>
    <n v="97164577668"/>
    <x v="0"/>
    <s v="149.68"/>
    <s v="149.68"/>
    <n v="384"/>
    <s v="AG RESPOSTA 1º CONTATO"/>
    <s v="ENVIADO MSG/E-MAIL 1º CONTATO"/>
    <n v="0"/>
    <x v="5"/>
    <s v="16.05"/>
    <s v="l.quadros"/>
    <s v="Acima de 361"/>
    <s v="ACIONAMENTO"/>
    <x v="4"/>
  </r>
  <r>
    <s v="COGECOM"/>
    <n v="3092793905"/>
    <s v="RICARDO DE LIMA CAETANO"/>
    <s v="OUT"/>
    <s v="OUTROS"/>
    <n v="98679333034"/>
    <x v="0"/>
    <s v="56.05"/>
    <s v="56.05"/>
    <n v="476"/>
    <s v="NÃO LOCALIZADO"/>
    <s v="TELEFONES SEM ATENDIMENTO"/>
    <n v="0"/>
    <x v="5"/>
    <s v="14.10"/>
    <s v="gleise"/>
    <s v="Acima de 361"/>
    <s v="ACIONAMENTO"/>
    <x v="0"/>
  </r>
  <r>
    <s v="COGECOM"/>
    <n v="3010062333"/>
    <s v="RICARDO FARIA GOULART"/>
    <s v="OUT"/>
    <s v="OUTROS"/>
    <n v="45024308620"/>
    <x v="0"/>
    <s v="149.00"/>
    <s v="150.63"/>
    <n v="186"/>
    <s v="NÃO LOCALIZADO"/>
    <s v="TELEFONES SEM ATENDIMENTO"/>
    <n v="0"/>
    <x v="5"/>
    <s v="14.11"/>
    <s v="gleise"/>
    <s v="181 a 360"/>
    <s v="ACIONAMENTO"/>
    <x v="0"/>
  </r>
  <r>
    <s v="COGECOM"/>
    <n v="55653933"/>
    <s v="RICHARD MAYCON LOPES FLORES"/>
    <s v="OUT"/>
    <s v="OUTROS"/>
    <n v="8098475905"/>
    <x v="0"/>
    <s v="74.41"/>
    <s v="74.41"/>
    <n v="354"/>
    <s v="AG RESPOSTA 1º CONTATO"/>
    <s v="ENVIADO MSG/E-MAIL 1º CONTATO"/>
    <n v="0"/>
    <x v="5"/>
    <s v="16.21"/>
    <s v="l.quadros"/>
    <s v="181 a 360"/>
    <s v="ACIONAMENTO"/>
    <x v="4"/>
  </r>
  <r>
    <s v="COGECOM"/>
    <n v="56113650"/>
    <s v="ROBERTO MATOS DE ALMEIDA"/>
    <s v="OUT"/>
    <s v="OUTROS"/>
    <n v="2473428905"/>
    <x v="0"/>
    <s v="947.10"/>
    <s v="947.10"/>
    <n v="1066"/>
    <s v="SEM INTERESSE"/>
    <s v="NEGOCIAÇÃO VIA TELEFONE"/>
    <n v="0"/>
    <x v="5"/>
    <s v="16.32"/>
    <s v="anakeppe"/>
    <s v="Acima de 361"/>
    <s v="CPC"/>
    <x v="1"/>
  </r>
  <r>
    <s v="COGECOM"/>
    <n v="3082167594"/>
    <s v="ROBSON ALMEIDA DE SOUZA"/>
    <s v="OUT"/>
    <s v="OUTROS"/>
    <n v="2264060085"/>
    <x v="0"/>
    <s v="524.38"/>
    <s v="226.55"/>
    <n v="378"/>
    <s v="NÃO LOCALIZADO"/>
    <s v="TELEFONES SEM ATENDIMENTO"/>
    <n v="0"/>
    <x v="5"/>
    <s v="14.11"/>
    <s v="gleise"/>
    <s v="Acima de 361"/>
    <s v="ACIONAMENTO"/>
    <x v="0"/>
  </r>
  <r>
    <s v="COGECOM"/>
    <n v="98601237"/>
    <s v="RODRIGO DAMAS"/>
    <s v="OUT"/>
    <s v="OUTROS"/>
    <n v="3653853958"/>
    <x v="0"/>
    <s v="1138.94"/>
    <s v="168.32"/>
    <n v="270"/>
    <s v="NÃO LOCALIZADO"/>
    <s v="TELEFONES SEM ATENDIMENTO"/>
    <n v="0"/>
    <x v="5"/>
    <s v="11.00"/>
    <s v="gleise"/>
    <s v="181 a 360"/>
    <s v="ACIONAMENTO"/>
    <x v="0"/>
  </r>
  <r>
    <s v="COGECOM"/>
    <n v="52823005"/>
    <s v="ROMEU MASSELAI"/>
    <s v="OUT"/>
    <s v="OUTROS"/>
    <n v="8781743971"/>
    <x v="0"/>
    <s v="197.83"/>
    <s v="68.69"/>
    <n v="647"/>
    <s v="NÃO LOCALIZADO"/>
    <s v="TELEFONES SEM ATENDIMENTO"/>
    <n v="0"/>
    <x v="5"/>
    <s v="14.12"/>
    <s v="gleise"/>
    <s v="Acima de 361"/>
    <s v="ACIONAMENTO"/>
    <x v="0"/>
  </r>
  <r>
    <s v="COGECOM"/>
    <n v="10024470986"/>
    <s v="ROSANA DO ESPIRITO SANTO"/>
    <s v="OUT"/>
    <s v="OUTROS"/>
    <n v="56533128"/>
    <x v="0"/>
    <s v="511.56"/>
    <s v="14.42"/>
    <n v="168"/>
    <s v="SEM INTERESSE"/>
    <s v="NEGOCIAÇÃO VIA TELEFONE"/>
    <n v="0"/>
    <x v="5"/>
    <s v="14.14"/>
    <s v="gleise"/>
    <s v="91 a 180"/>
    <s v="CPC"/>
    <x v="1"/>
  </r>
  <r>
    <s v="COGECOM"/>
    <n v="101290764"/>
    <s v="ROSELI APARECIDA DE AZEVEDO RODRIGUES PEREIRA"/>
    <s v="OUT"/>
    <s v="OUTROS"/>
    <n v="5661816901"/>
    <x v="0"/>
    <s v="1447.82"/>
    <s v="128.49"/>
    <n v="643"/>
    <s v="NÃO LOCALIZADO"/>
    <s v="TELEFONES SEM ATENDIMENTO"/>
    <n v="0"/>
    <x v="5"/>
    <s v="14.12"/>
    <s v="gleise"/>
    <s v="Acima de 361"/>
    <s v="ACIONAMENTO"/>
    <x v="0"/>
  </r>
  <r>
    <s v="COGECOM"/>
    <n v="32262015"/>
    <s v="SANDRA HELENA TIEZERINI"/>
    <s v="OUT"/>
    <s v="OUTROS"/>
    <n v="9591150997"/>
    <x v="0"/>
    <s v="304.40"/>
    <s v="214.55"/>
    <n v="191"/>
    <s v="NÃO LOCALIZADO"/>
    <s v="TELEFONES SEM ATENDIMENTO"/>
    <n v="0"/>
    <x v="5"/>
    <s v="10.26"/>
    <s v="gleise"/>
    <s v="181 a 360"/>
    <s v="ACIONAMENTO"/>
    <x v="0"/>
  </r>
  <r>
    <s v="COGECOM"/>
    <n v="52251745"/>
    <s v="SUELEN VIERIA"/>
    <s v="OUT"/>
    <s v="OUTROS"/>
    <n v="6609021929"/>
    <x v="0"/>
    <s v="222.23"/>
    <s v="142.42"/>
    <n v="186"/>
    <s v="NÃO LOCALIZADO"/>
    <s v="TELEFONES SEM ATENDIMENTO"/>
    <n v="0"/>
    <x v="5"/>
    <s v="14.15"/>
    <s v="gleise"/>
    <s v="181 a 360"/>
    <s v="ACIONAMENTO"/>
    <x v="0"/>
  </r>
  <r>
    <s v="COGECOM"/>
    <n v="3003748371"/>
    <s v="TALITA CHRISTINA ASSIS"/>
    <s v="OUT"/>
    <s v="OUTROS"/>
    <n v="7684876686"/>
    <x v="0"/>
    <s v="659.48"/>
    <s v="148.33"/>
    <n v="363"/>
    <s v="NÃO LOCALIZADO"/>
    <s v="TELEFONES SEM ATENDIMENTO"/>
    <n v="0"/>
    <x v="5"/>
    <s v="14.16"/>
    <s v="gleise"/>
    <s v="Acima de 361"/>
    <s v="ACIONAMENTO"/>
    <x v="0"/>
  </r>
  <r>
    <s v="COGECOM"/>
    <n v="42608750"/>
    <s v="THAMIRES DAS NEVES DOS SANTOS"/>
    <s v="OUT"/>
    <s v="OUTROS"/>
    <n v="6298625593"/>
    <x v="0"/>
    <s v="203.42"/>
    <s v="156.08"/>
    <n v="649"/>
    <s v="NÃO LOCALIZADO"/>
    <s v="TELEFONES SEM ATENDIMENTO"/>
    <n v="0"/>
    <x v="5"/>
    <s v="14.16"/>
    <s v="gleise"/>
    <s v="Acima de 361"/>
    <s v="ACIONAMENTO"/>
    <x v="0"/>
  </r>
  <r>
    <s v="COGECOM"/>
    <n v="52088020"/>
    <s v="THAYANE MORAES DE ALENCASTRO"/>
    <s v="OUT"/>
    <s v="OUTROS"/>
    <n v="1016661010"/>
    <x v="0"/>
    <s v="0.00"/>
    <s v="42.64"/>
    <n v="534"/>
    <s v="NÃO LOCALIZADO"/>
    <s v="ALTERACAO DEBITO"/>
    <n v="14"/>
    <x v="5"/>
    <s v="12.22"/>
    <s v="elizabel"/>
    <s v="Acima de 361"/>
    <s v="ACIONAMENTO"/>
    <x v="0"/>
  </r>
  <r>
    <s v="COGECOM"/>
    <n v="3095570357"/>
    <s v="TIAGO VIEIRA DIAS"/>
    <s v="OUT"/>
    <s v="OUTROS"/>
    <n v="429684029"/>
    <x v="0"/>
    <s v="103.62"/>
    <s v="103.62"/>
    <n v="491"/>
    <s v="NÃO LOCALIZADO"/>
    <s v="TELEFONES SEM ATENDIMENTO"/>
    <n v="0"/>
    <x v="5"/>
    <s v="13.35"/>
    <s v="gleise"/>
    <s v="Acima de 361"/>
    <s v="ACIONAMENTO"/>
    <x v="0"/>
  </r>
  <r>
    <s v="COGECOM"/>
    <n v="107046474"/>
    <s v="WALTER DOS SANTOS"/>
    <s v="OUT"/>
    <s v="OUTROS"/>
    <n v="4841480951"/>
    <x v="0"/>
    <s v="2213.48"/>
    <s v="653.53"/>
    <n v="700"/>
    <s v="SEM INTERESSE"/>
    <s v="SEM INTERESSE"/>
    <n v="0"/>
    <x v="5"/>
    <s v="16.43"/>
    <s v="l.quadros"/>
    <s v="Acima de 361"/>
    <s v="CPC"/>
    <x v="1"/>
  </r>
  <r>
    <s v="COGECOM"/>
    <n v="10022844005"/>
    <s v="WELITON CLEITON ARAUJO DE OLIVEIRA"/>
    <s v="OUT"/>
    <s v="OUTROS"/>
    <n v="4490048130"/>
    <x v="0"/>
    <s v="125.57"/>
    <s v="46.15"/>
    <n v="198"/>
    <s v="NÃO LOCALIZADO"/>
    <s v="TELEFONES SEM ATENDIMENTO"/>
    <n v="0"/>
    <x v="5"/>
    <s v="13.27"/>
    <s v="gleise"/>
    <s v="181 a 360"/>
    <s v="ACIONAMENTO"/>
    <x v="0"/>
  </r>
  <r>
    <s v="COGECOM"/>
    <n v="10028550046"/>
    <s v="WESDLEY JHONY DE MORAIS"/>
    <s v="OUT"/>
    <s v="OUTROS"/>
    <n v="94206147353"/>
    <x v="0"/>
    <s v="686.72"/>
    <s v="140.80"/>
    <n v="171"/>
    <s v="AG RESPOSTA 1º CONTATO"/>
    <s v="ENVIADO MSG/E-MAIL 1º CONTATO"/>
    <n v="0"/>
    <x v="5"/>
    <s v="9.40"/>
    <s v="l.quadros"/>
    <s v="91 a 180"/>
    <s v="ACIONAMENTO"/>
    <x v="4"/>
  </r>
  <r>
    <s v="COGECOM"/>
    <n v="42499480"/>
    <s v="WO BAR E LANCHONETE EIRELI"/>
    <s v="OUT"/>
    <s v="OUTROS"/>
    <n v="29814030000113"/>
    <x v="1"/>
    <s v="0.00"/>
    <s v="436.53"/>
    <n v="161"/>
    <s v="EM NEGOCIAÇÃO"/>
    <s v="ESTORNO"/>
    <n v="9"/>
    <x v="5"/>
    <s v="10.18"/>
    <s v="luciano"/>
    <s v="91 a 180"/>
    <s v="ACIONAMENTO"/>
    <x v="2"/>
  </r>
  <r>
    <s v="COGECOM"/>
    <n v="79741711"/>
    <s v="COSTA MONTEIRO E MONTEIRO LTDA"/>
    <s v="OUT"/>
    <s v="OUTROS"/>
    <n v="273954000178"/>
    <x v="0"/>
    <s v="8441.84"/>
    <s v="2458.08"/>
    <n v="233"/>
    <s v="AG RESPOSTA 1º CONTATO"/>
    <s v="ENVIADO MSG/E-MAIL 1º CONTATO"/>
    <n v="0"/>
    <x v="5"/>
    <s v="10.03"/>
    <s v="l.quadros"/>
    <s v="181 a 360"/>
    <s v="ACIONAMENTO"/>
    <x v="4"/>
  </r>
  <r>
    <s v="COGECOM"/>
    <n v="4001396124"/>
    <s v="MARCIO LUIS SOARES DA SILVA"/>
    <s v="OUT"/>
    <s v="OUTROS"/>
    <n v="59119144091"/>
    <x v="0"/>
    <s v="427.16"/>
    <s v="897.71"/>
    <n v="329"/>
    <s v="AG RESPOSTA 1º CONTATO"/>
    <s v="ENVIADO MSG/E-MAIL 1º CONTATO"/>
    <n v="0"/>
    <x v="5"/>
    <s v="17.00"/>
    <s v="l.quadros"/>
    <s v="181 a 360"/>
    <s v="ACIONAMENTO"/>
    <x v="4"/>
  </r>
  <r>
    <s v="COGECOM"/>
    <n v="10036690190"/>
    <s v="CLEIDIMARA BORGES DA SILVA"/>
    <s v="OUT"/>
    <s v="OUTROS"/>
    <n v="7703245178"/>
    <x v="0"/>
    <s v="301.40"/>
    <s v="110.39"/>
    <n v="182"/>
    <s v="NÃO LOCALIZADO"/>
    <s v="TELEFONES SEM ATENDIMENTO"/>
    <n v="0"/>
    <x v="5"/>
    <s v="11.06"/>
    <s v="gleise"/>
    <s v="181 a 360"/>
    <s v="ACIONAMENTO"/>
    <x v="0"/>
  </r>
  <r>
    <s v="COGECOM"/>
    <n v="10016850660"/>
    <s v="JAIR JUNIOR SOARES VIANA FILHO"/>
    <s v="OUT"/>
    <s v="OUTROS"/>
    <n v="1729938140"/>
    <x v="0"/>
    <s v="415.16"/>
    <s v="150.88"/>
    <n v="174"/>
    <s v="NÃO LOCALIZADO"/>
    <s v="TELEFONES SEM ATENDIMENTO"/>
    <n v="0"/>
    <x v="5"/>
    <s v="13.20"/>
    <s v="gleise"/>
    <s v="91 a 180"/>
    <s v="ACIONAMENTO"/>
    <x v="0"/>
  </r>
  <r>
    <s v="COGECOM"/>
    <n v="10029721260"/>
    <s v="CLECIO DA SILVA PIRES"/>
    <s v="OUT"/>
    <s v="OUTROS"/>
    <n v="43367810100"/>
    <x v="0"/>
    <s v="16433.03"/>
    <s v="843.41"/>
    <n v="320"/>
    <s v="SEM INTERESSE"/>
    <s v="NEGOCIAÇÃO VIA TELEFONE"/>
    <n v="0"/>
    <x v="5"/>
    <s v="11.12"/>
    <s v="anakeppe"/>
    <s v="181 a 360"/>
    <s v="CPC"/>
    <x v="1"/>
  </r>
  <r>
    <s v="COGECOM"/>
    <n v="3095723980"/>
    <s v="KELLEN DE MELLO"/>
    <s v="OUT"/>
    <s v="OUTROS"/>
    <n v="1522873023"/>
    <x v="0"/>
    <s v="634.69"/>
    <s v="301.15"/>
    <n v="166"/>
    <s v="EM NEGOCIAÇÃO"/>
    <s v="NEGOCIAÇÃO VIA WHATSAPP"/>
    <n v="0"/>
    <x v="5"/>
    <s v="10.42"/>
    <s v="l.quadros"/>
    <s v="91 a 180"/>
    <s v="CPC"/>
    <x v="2"/>
  </r>
  <r>
    <s v="COGECOM"/>
    <n v="3093212428"/>
    <s v="ALMIR ROGERIO RODRIGUES VIEIRA"/>
    <s v="OUT"/>
    <s v="OUTROS"/>
    <n v="96503190000"/>
    <x v="0"/>
    <s v="640.19"/>
    <s v="446.67"/>
    <n v="321"/>
    <s v="AG RESPOSTA 1º CONTATO"/>
    <s v="ENVIADO MSG/E-MAIL 1º CONTATO"/>
    <n v="0"/>
    <x v="5"/>
    <s v="10.29"/>
    <s v="l.quadros"/>
    <s v="181 a 360"/>
    <s v="ACIONAMENTO"/>
    <x v="4"/>
  </r>
  <r>
    <s v="COGECOM"/>
    <n v="46503104"/>
    <s v="VICTOR FREITAS FROZZA"/>
    <s v="OUT"/>
    <s v="OUTROS"/>
    <n v="818280042"/>
    <x v="0"/>
    <s v="412.86"/>
    <s v="412.86"/>
    <n v="197"/>
    <s v="NÃO LOCALIZADO"/>
    <s v="TELEFONES SEM ATENDIMENTO"/>
    <n v="0"/>
    <x v="5"/>
    <s v="16.29"/>
    <s v="gleise"/>
    <s v="181 a 360"/>
    <s v="ACIONAMENTO"/>
    <x v="0"/>
  </r>
  <r>
    <s v="COGECOM"/>
    <n v="28990189"/>
    <s v="CRISTINE GNEWUCH ROMANZINI"/>
    <s v="OUT"/>
    <s v="OUTROS"/>
    <n v="648059995"/>
    <x v="0"/>
    <s v="406.53"/>
    <s v="406.53"/>
    <n v="157"/>
    <s v="SEM CONDIÇÕES"/>
    <s v="NEGOCIAÇÃO VIA TELEFONE"/>
    <n v="0"/>
    <x v="5"/>
    <s v="11.41"/>
    <s v="gleise"/>
    <s v="91 a 180"/>
    <s v="CPC"/>
    <x v="3"/>
  </r>
  <r>
    <s v="COGECOM"/>
    <n v="2286122"/>
    <s v="HAROLDO SCHURHAUS"/>
    <s v="OUT"/>
    <s v="OUTROS"/>
    <n v="37519468968"/>
    <x v="0"/>
    <s v="461.61"/>
    <s v="116.40"/>
    <n v="157"/>
    <s v="SEM INTERESSE"/>
    <s v="NEGOCIAÇÃO VIA TELEFONE"/>
    <n v="0"/>
    <x v="5"/>
    <s v="11.05"/>
    <s v="gleise"/>
    <s v="91 a 180"/>
    <s v="CPC"/>
    <x v="1"/>
  </r>
  <r>
    <s v="COGECOM"/>
    <n v="37834568"/>
    <s v="FERNANDO HENRIQUE DE OLIVEIRA"/>
    <s v="OUT"/>
    <s v="OUTROS"/>
    <n v="5794804963"/>
    <x v="0"/>
    <s v="985.18"/>
    <s v="181.13"/>
    <n v="156"/>
    <s v="NÃO LOCALIZADO"/>
    <s v="TELEFONES SEM ATENDIMENTO"/>
    <n v="0"/>
    <x v="5"/>
    <s v="13.06"/>
    <s v="gleise"/>
    <s v="91 a 180"/>
    <s v="ACIONAMENTO"/>
    <x v="0"/>
  </r>
  <r>
    <s v="COGECOM"/>
    <n v="28607635"/>
    <s v="SIRLEI DE OLIVEIRA"/>
    <s v="OUT"/>
    <s v="OUTROS"/>
    <n v="31811850944"/>
    <x v="0"/>
    <s v="2402.11"/>
    <s v="599.04"/>
    <n v="610"/>
    <s v="NÃO LOCALIZADO"/>
    <s v="TELEFONES SEM ATENDIMENTO"/>
    <n v="0"/>
    <x v="5"/>
    <s v="10.49"/>
    <s v="gleise"/>
    <s v="Acima de 361"/>
    <s v="ACIONAMENTO"/>
    <x v="0"/>
  </r>
  <r>
    <s v="COGECOM"/>
    <n v="3007131318"/>
    <s v="ROBSON TADEU SANTOS TORRES"/>
    <s v="OUT"/>
    <s v="OUTROS"/>
    <n v="39413680876"/>
    <x v="0"/>
    <s v="143.21"/>
    <s v="33.89"/>
    <n v="153"/>
    <s v="AG RESPOSTA 1º CONTATO"/>
    <s v="ENVIADO MSG/E-MAIL 1º CONTATO"/>
    <n v="0"/>
    <x v="5"/>
    <s v="14.36"/>
    <s v="l.quadros"/>
    <s v="91 a 180"/>
    <s v="ACIONAMENTO"/>
    <x v="4"/>
  </r>
  <r>
    <s v="COGECOM"/>
    <n v="3005717852"/>
    <s v="JOAO ROSA"/>
    <s v="OUT"/>
    <s v="OUTROS"/>
    <n v="21854866672"/>
    <x v="0"/>
    <s v="312.13"/>
    <s v="76.60"/>
    <n v="153"/>
    <s v="NÃO LOCALIZADO"/>
    <s v="TELEFONES SEM ATENDIMENTO"/>
    <n v="0"/>
    <x v="5"/>
    <s v="9.26"/>
    <s v="gleise"/>
    <s v="91 a 180"/>
    <s v="ACIONAMENTO"/>
    <x v="0"/>
  </r>
  <r>
    <s v="COGECOM"/>
    <n v="3003033373"/>
    <s v="LUCIA SOARES LAGE"/>
    <s v="OUT"/>
    <s v="OUTROS"/>
    <n v="71554165687"/>
    <x v="0"/>
    <s v="332.30"/>
    <s v="63.18"/>
    <n v="153"/>
    <s v="SEM INTERESSE"/>
    <s v="NEGOCIAÇÃO VIA TELEFONE"/>
    <n v="0"/>
    <x v="5"/>
    <s v="15.29"/>
    <s v="anakeppe"/>
    <s v="91 a 180"/>
    <s v="CPC"/>
    <x v="1"/>
  </r>
  <r>
    <s v="COGECOM"/>
    <n v="10014210248"/>
    <s v="MARCUS VINICIUS ANDRADE OLIVEIRA"/>
    <s v="OUT"/>
    <s v="OUTROS"/>
    <n v="3770173104"/>
    <x v="0"/>
    <s v="2946.92"/>
    <s v="846.31"/>
    <n v="141"/>
    <s v="NÃO LOCALIZADO"/>
    <s v="TELEFONES SEM ATENDIMENTO"/>
    <n v="0"/>
    <x v="5"/>
    <s v="11.33"/>
    <s v="gleise"/>
    <s v="91 a 180"/>
    <s v="ACIONAMENTO"/>
    <x v="0"/>
  </r>
  <r>
    <s v="COGECOM"/>
    <n v="53889530"/>
    <s v="ELITON PEREIRA"/>
    <s v="OUT"/>
    <s v="OUTROS"/>
    <n v="82282056949"/>
    <x v="0"/>
    <s v="141.22"/>
    <s v="141.22"/>
    <n v="136"/>
    <s v="AG RESPOSTA 1º CONTATO"/>
    <s v="ENVIADO MSG/E-MAIL 1º CONTATO"/>
    <n v="0"/>
    <x v="5"/>
    <s v="14.17"/>
    <s v="l.quadros"/>
    <s v="91 a 180"/>
    <s v="ACIONAMENTO"/>
    <x v="4"/>
  </r>
  <r>
    <s v="COGECOM"/>
    <n v="4830285401"/>
    <s v="CLAUDMILSON RODRIGUES DOS SANTOS"/>
    <s v="OUT"/>
    <s v="OUTROS"/>
    <n v="95476733191"/>
    <x v="0"/>
    <s v="358.97"/>
    <s v="91.58"/>
    <n v="141"/>
    <s v="AG RESPOSTA 1º CONTATO"/>
    <s v="ENVIADO MSG/E-MAIL 1º CONTATO"/>
    <n v="0"/>
    <x v="5"/>
    <s v="14.42"/>
    <s v="l.quadros"/>
    <s v="91 a 180"/>
    <s v="ACIONAMENTO"/>
    <x v="4"/>
  </r>
  <r>
    <s v="COGECOM"/>
    <n v="10037123376"/>
    <s v="JOAO HENRIQUE BORGES DE SOUZA"/>
    <s v="OUT"/>
    <s v="OUTROS"/>
    <n v="5087738141"/>
    <x v="0"/>
    <s v="172.86"/>
    <s v="154.87"/>
    <n v="86"/>
    <s v="NÃO LOCALIZADO"/>
    <s v="GERAÇÃO DE ACORDO"/>
    <n v="13"/>
    <x v="5"/>
    <s v="13.17"/>
    <s v="gleise"/>
    <s v="61 a 90"/>
    <s v="CPC"/>
    <x v="0"/>
  </r>
  <r>
    <s v="COGECOM"/>
    <n v="3085119292"/>
    <s v="ROBSON PAULO DOS SANTOS RODRIGUES"/>
    <s v="OUT"/>
    <s v="OUTROS"/>
    <n v="64099350053"/>
    <x v="0"/>
    <s v="210.81"/>
    <s v="210.81"/>
    <n v="85"/>
    <s v="SEM INTERESSE"/>
    <s v="NEGOCIAÇÃO VIA WHATSAPP"/>
    <n v="0"/>
    <x v="5"/>
    <s v="15.06"/>
    <s v="l.quadros"/>
    <s v="61 a 90"/>
    <s v="CPC"/>
    <x v="1"/>
  </r>
  <r>
    <s v="COGECOM"/>
    <n v="36813168"/>
    <s v="ANDRE LUIZ SABINO NUNES DE SOUZA"/>
    <s v="OUT"/>
    <s v="OUTROS"/>
    <n v="6712346924"/>
    <x v="0"/>
    <s v="3655.02"/>
    <s v="879.91"/>
    <n v="124"/>
    <s v="NÃO LOCALIZADO"/>
    <s v="TELEFONES SEM ATENDIMENTO"/>
    <n v="0"/>
    <x v="5"/>
    <s v="16.21"/>
    <s v="gleise"/>
    <s v="91 a 180"/>
    <s v="ACIONAMENTO"/>
    <x v="0"/>
  </r>
  <r>
    <s v="COGECOM"/>
    <n v="98907581"/>
    <s v="JOAO BATISTA DE SOUZA"/>
    <s v="OUT"/>
    <s v="OUTROS"/>
    <n v="46719660934"/>
    <x v="0"/>
    <s v="1059.04"/>
    <s v="1059.04"/>
    <n v="172"/>
    <s v="SEM INTERESSE"/>
    <s v="NEGOCIAÇÃO VIA TELEFONE"/>
    <n v="0"/>
    <x v="5"/>
    <s v="10.13"/>
    <s v="l.quadros"/>
    <s v="91 a 180"/>
    <s v="CPC"/>
    <x v="1"/>
  </r>
  <r>
    <s v="COGECOM"/>
    <n v="104774592"/>
    <s v="ALEXANDRE OLIVEIRA LIMA"/>
    <s v="OUT"/>
    <s v="OUTROS"/>
    <n v="68544812449"/>
    <x v="0"/>
    <s v="528.72"/>
    <s v="528.72"/>
    <n v="167"/>
    <s v="SEM INTERESSE"/>
    <s v="NEGOCIAÇÃO VIA WHATSAPP"/>
    <n v="0"/>
    <x v="5"/>
    <s v="11.38"/>
    <s v="l.quadros"/>
    <s v="91 a 180"/>
    <s v="CPC"/>
    <x v="1"/>
  </r>
  <r>
    <s v="COGECOM"/>
    <n v="26658918"/>
    <s v="LEANDRO ROGÉRIO SILVA"/>
    <s v="OUT"/>
    <s v="OUTROS"/>
    <n v="94261814900"/>
    <x v="0"/>
    <s v="1302.32"/>
    <s v="1302.32"/>
    <n v="140"/>
    <s v="SEM INTERESSE"/>
    <s v="NEGOCIAÇÃO VIA TELEFONE"/>
    <n v="0"/>
    <x v="5"/>
    <s v="16.38"/>
    <s v="l.quadros"/>
    <s v="91 a 180"/>
    <s v="CPC"/>
    <x v="1"/>
  </r>
  <r>
    <s v="COGECOM"/>
    <n v="3095463956"/>
    <s v="PABLO RAFAEL DE LORETO"/>
    <s v="OUT"/>
    <s v="OUTROS"/>
    <n v="516809040"/>
    <x v="0"/>
    <s v="3926.68"/>
    <s v="1408.73"/>
    <n v="146"/>
    <s v="SEM INTERESSE"/>
    <s v="NEGOCIAÇÃO VIA TELEFONE"/>
    <n v="0"/>
    <x v="5"/>
    <s v="9.38"/>
    <s v="gleise"/>
    <s v="91 a 180"/>
    <s v="CPC"/>
    <x v="1"/>
  </r>
  <r>
    <s v="COGECOM"/>
    <n v="15907491"/>
    <s v="ORLANDO LEONEL DE PAIVA NETO"/>
    <s v="OUT"/>
    <s v="OUTROS"/>
    <n v="164333193"/>
    <x v="0"/>
    <s v="5518.04"/>
    <s v="2111.54"/>
    <n v="112"/>
    <s v="AG RESPOSTA 1º CONTATO"/>
    <s v="ENVIADO MSG/E-MAIL 1º CONTATO"/>
    <n v="0"/>
    <x v="5"/>
    <s v="16.28"/>
    <s v="l.quadros"/>
    <s v="91 a 180"/>
    <s v="ACIONAMENTO"/>
    <x v="4"/>
  </r>
  <r>
    <s v="COGECOM"/>
    <n v="92921230"/>
    <s v="LUZIA DE MEDEIROS WEDDERHOFF"/>
    <s v="OUT"/>
    <s v="OUTROS"/>
    <n v="26565005168"/>
    <x v="0"/>
    <s v="381.42"/>
    <s v="115.82"/>
    <n v="128"/>
    <s v="EM NEGOCIAÇÃO"/>
    <s v="NEGOCIAÇÃO VIA WHATSAPP"/>
    <n v="0"/>
    <x v="5"/>
    <s v="17.25"/>
    <s v="l.quadros"/>
    <s v="91 a 180"/>
    <s v="CPC"/>
    <x v="2"/>
  </r>
  <r>
    <s v="COGECOM"/>
    <n v="53579895"/>
    <s v="JOAO VICTOR WYPYCH STRATMANN"/>
    <s v="OUT"/>
    <s v="OUTROS"/>
    <n v="8066057903"/>
    <x v="0"/>
    <s v="505.73"/>
    <s v="505.73"/>
    <n v="116"/>
    <s v="AG RESPOSTA 1º CONTATO"/>
    <s v="ENVIADO MSG/E-MAIL 1º CONTATO"/>
    <n v="0"/>
    <x v="5"/>
    <s v="16.51"/>
    <s v="l.quadros"/>
    <s v="91 a 180"/>
    <s v="ACIONAMENTO"/>
    <x v="4"/>
  </r>
  <r>
    <s v="COGECOM"/>
    <n v="62814893"/>
    <s v="ALCIDIA GISLAINE CANDIDO FERRAR"/>
    <s v="OUT"/>
    <s v="OUTROS"/>
    <n v="2474897941"/>
    <x v="0"/>
    <s v="43.88"/>
    <s v="43.88"/>
    <n v="71"/>
    <s v="AG RESPOSTA 1º CONTATO"/>
    <s v="ENVIADO MSG/E-MAIL 1º CONTATO"/>
    <n v="0"/>
    <x v="5"/>
    <s v="16.22"/>
    <s v="l.quadros"/>
    <s v="61 a 90"/>
    <s v="ACIONAMENTO"/>
    <x v="4"/>
  </r>
  <r>
    <s v="COGECOM"/>
    <n v="3745368"/>
    <s v="ATLÂNTICA PIZZA BIS"/>
    <s v="OUT"/>
    <s v="OUTROS"/>
    <n v="28309823000112"/>
    <x v="0"/>
    <s v="4170.08"/>
    <s v="5302.77"/>
    <n v="66"/>
    <s v="NÃO LOCALIZADO"/>
    <s v="TELEFONES SEM ATENDIMENTO"/>
    <n v="0"/>
    <x v="5"/>
    <s v="9.28"/>
    <s v="gleise"/>
    <s v="61 a 90"/>
    <s v="ACIONAMENTO"/>
    <x v="0"/>
  </r>
  <r>
    <s v="COGECOM"/>
    <n v="10028692312"/>
    <s v="BRUNO RAMELLO PIRES"/>
    <s v="OUT"/>
    <s v="OUTROS"/>
    <n v="1219216119"/>
    <x v="0"/>
    <s v="91.92"/>
    <s v="50.23"/>
    <n v="73"/>
    <m/>
    <s v="GERAÇÃO DE ACORDO"/>
    <n v="9999"/>
    <x v="5"/>
    <s v="15.13"/>
    <s v="gleise"/>
    <s v="61 a 90"/>
    <s v="CPC"/>
    <x v="4"/>
  </r>
  <r>
    <s v="COGECOM"/>
    <n v="49928343"/>
    <s v="ETNA JULIANA PALHANO DOS SANTOS"/>
    <s v="OUT"/>
    <s v="OUTROS"/>
    <n v="728427923"/>
    <x v="0"/>
    <s v="49.08"/>
    <s v="49.08"/>
    <n v="66"/>
    <s v="SEM INTERESSE"/>
    <s v="NEGOCIAÇÃO VIA WHATSAPP"/>
    <n v="0"/>
    <x v="5"/>
    <s v="9.49"/>
    <s v="l.quadros"/>
    <s v="61 a 90"/>
    <s v="CPC"/>
    <x v="1"/>
  </r>
  <r>
    <s v="COGECOM"/>
    <n v="3085297390"/>
    <s v="LUCIARA MÖLLER"/>
    <s v="OUT"/>
    <s v="OUTROS"/>
    <n v="96242418053"/>
    <x v="1"/>
    <s v="0.00"/>
    <s v="119.79"/>
    <n v="69"/>
    <s v="EM NEGOCIAÇÃO"/>
    <s v="ESTORNO"/>
    <n v="22"/>
    <x v="5"/>
    <s v="10.24"/>
    <s v="luciano"/>
    <s v="61 a 90"/>
    <s v="ACIONAMENTO"/>
    <x v="2"/>
  </r>
  <r>
    <s v="COGECOM"/>
    <n v="32100868"/>
    <s v="LUIZ CARLOS SCHON"/>
    <s v="OUT"/>
    <s v="OUTROS"/>
    <n v="73548243991"/>
    <x v="0"/>
    <s v="0.00"/>
    <s v="256.32"/>
    <n v="70"/>
    <m/>
    <s v="ALTERACAO DEBITO"/>
    <n v="9999"/>
    <x v="5"/>
    <s v="12.27"/>
    <s v="elizabel"/>
    <s v="61 a 90"/>
    <s v="ACIONAMENTO"/>
    <x v="4"/>
  </r>
  <r>
    <s v="COGECOM"/>
    <n v="55955301"/>
    <s v="MARCELA ELIZABETH ANDRADE"/>
    <s v="OUT"/>
    <s v="OUTROS"/>
    <n v="1183998961"/>
    <x v="0"/>
    <s v="92.32"/>
    <s v="81.65"/>
    <n v="66"/>
    <s v="SEM INTERESSE"/>
    <s v="NEGOCIAÇÃO VIA WHATSAPP"/>
    <n v="0"/>
    <x v="5"/>
    <s v="13.56"/>
    <s v="l.quadros"/>
    <s v="61 a 90"/>
    <s v="CPC"/>
    <x v="1"/>
  </r>
  <r>
    <s v="COGECOM"/>
    <n v="5309905"/>
    <s v="MARIA DAS GRACAS FASANO WERNER"/>
    <s v="OUT"/>
    <s v="OUTROS"/>
    <n v="44811268687"/>
    <x v="0"/>
    <s v="275.24"/>
    <s v="275.24"/>
    <n v="71"/>
    <s v="SEM INTERESSE"/>
    <s v="SEM INTERESSE"/>
    <n v="0"/>
    <x v="5"/>
    <s v="11.46"/>
    <s v="gleise"/>
    <s v="61 a 90"/>
    <s v="CPC"/>
    <x v="1"/>
  </r>
  <r>
    <s v="COGECOM"/>
    <n v="2358182"/>
    <s v="MARINILDA MACHADO"/>
    <s v="OUT"/>
    <s v="OUTROS"/>
    <n v="71248293991"/>
    <x v="0"/>
    <s v="363.69"/>
    <s v="237.12"/>
    <n v="66"/>
    <s v="SEM INTERESSE"/>
    <s v="NEGOCIAÇÃO VIA TELEFONE"/>
    <n v="0"/>
    <x v="5"/>
    <s v="16.53"/>
    <s v="anakeppe"/>
    <s v="61 a 90"/>
    <s v="CPC"/>
    <x v="1"/>
  </r>
  <r>
    <s v="COGECOM"/>
    <n v="3006617135"/>
    <s v="PATRICIA CORREIA ANDRADE DE MELO"/>
    <s v="OUT"/>
    <s v="OUTROS"/>
    <n v="12429049643"/>
    <x v="0"/>
    <s v="173.69"/>
    <s v="119.45"/>
    <n v="66"/>
    <m/>
    <s v="SOLICITAR EXTINÇÃO DA AÇÃO"/>
    <n v="9999"/>
    <x v="5"/>
    <s v="15.05"/>
    <s v="peterson"/>
    <s v="61 a 90"/>
    <s v="ACIONAMENTO"/>
    <x v="4"/>
  </r>
  <r>
    <s v="COGECOM"/>
    <n v="56340238"/>
    <s v="VALESCA MENIN GRANADO"/>
    <s v="OUT"/>
    <s v="OUTROS"/>
    <n v="18090026800"/>
    <x v="0"/>
    <s v="256.68"/>
    <s v="118.01"/>
    <n v="66"/>
    <m/>
    <s v="SOLICITAR EXTINÇÃO DA AÇÃO"/>
    <n v="9999"/>
    <x v="5"/>
    <s v="15.14"/>
    <s v="anakeppe"/>
    <s v="61 a 90"/>
    <s v="ACIONAMENTO"/>
    <x v="4"/>
  </r>
  <r>
    <s v="COGECOM"/>
    <n v="6341640"/>
    <s v="VERA MARIA MANSUR SMAKA"/>
    <s v="OUT"/>
    <s v="OUTROS"/>
    <n v="1434223914"/>
    <x v="0"/>
    <s v="33.91"/>
    <s v="33.91"/>
    <n v="72"/>
    <m/>
    <s v="SOLICITAR EXTINÇÃO DA AÇÃO"/>
    <n v="9999"/>
    <x v="5"/>
    <s v="15.14"/>
    <s v="anakeppe"/>
    <s v="61 a 90"/>
    <s v="ACIONAMENTO"/>
    <x v="4"/>
  </r>
  <r>
    <s v="COGECOM"/>
    <n v="56328114"/>
    <s v="PAULA GOTELIP DE SOUZA CORREA"/>
    <s v="OUT"/>
    <s v="OUTROS"/>
    <n v="4524352694"/>
    <x v="0"/>
    <s v="283.45"/>
    <s v="283.45"/>
    <n v="62"/>
    <m/>
    <s v="SOLICITAR EXTINÇÃO DA AÇÃO"/>
    <n v="9999"/>
    <x v="5"/>
    <s v="15.15"/>
    <s v="anakeppe"/>
    <s v="61 a 90"/>
    <s v="ACIONAMENTO"/>
    <x v="4"/>
  </r>
  <r>
    <s v="COGECOM"/>
    <n v="3006286224"/>
    <s v="EMERSON ROSBERG GERONIMO DA SILVA"/>
    <s v="OUT"/>
    <s v="OUTROS"/>
    <n v="6821199620"/>
    <x v="0"/>
    <s v="416.99"/>
    <s v="416.99"/>
    <n v="61"/>
    <m/>
    <s v="SOLICITAR EXTINÇÃO DA AÇÃO"/>
    <n v="9999"/>
    <x v="5"/>
    <s v="15.16"/>
    <s v="anakeppe"/>
    <s v="61 a 90"/>
    <s v="ACIONAMENTO"/>
    <x v="4"/>
  </r>
  <r>
    <s v="COGECOM"/>
    <n v="53572316"/>
    <s v="AMANDA CRYSTINE ROSSARI"/>
    <s v="OUT"/>
    <s v="OUTROS"/>
    <n v="10905954920"/>
    <x v="0"/>
    <s v="95.96"/>
    <s v="95.96"/>
    <n v="62"/>
    <m/>
    <s v="SOLICITAR EXTINÇÃO DA AÇÃO"/>
    <n v="9999"/>
    <x v="5"/>
    <s v="15.15"/>
    <s v="anakeppe"/>
    <s v="61 a 90"/>
    <s v="ACIONAMENTO"/>
    <x v="4"/>
  </r>
  <r>
    <s v="COGECOM"/>
    <n v="46756134"/>
    <s v="AMYR JOSE ROCKENBACH"/>
    <s v="OUT"/>
    <s v="OUTROS"/>
    <n v="486124053"/>
    <x v="0"/>
    <s v="84.37"/>
    <s v="84.37"/>
    <n v="62"/>
    <m/>
    <s v="SOLICITAR EXTINÇÃO DA AÇÃO"/>
    <n v="9999"/>
    <x v="5"/>
    <s v="15.15"/>
    <s v="anakeppe"/>
    <s v="61 a 90"/>
    <s v="ACIONAMENTO"/>
    <x v="4"/>
  </r>
  <r>
    <s v="COGECOM"/>
    <n v="5509556"/>
    <s v="MIGUEL DE OLIVEIRA FILHO"/>
    <s v="OUT"/>
    <s v="OUTROS"/>
    <n v="42892880220"/>
    <x v="0"/>
    <s v="189.15"/>
    <s v="189.15"/>
    <n v="62"/>
    <m/>
    <s v="SOLICITAR EXTINÇÃO DA AÇÃO"/>
    <n v="9999"/>
    <x v="5"/>
    <s v="15.16"/>
    <s v="anakeppe"/>
    <s v="61 a 90"/>
    <s v="ACIONAMENTO"/>
    <x v="4"/>
  </r>
  <r>
    <s v="COGECOM"/>
    <n v="40565159"/>
    <s v="ADENILSON PIRES DA SILVA"/>
    <s v="OUT"/>
    <s v="OUTROS"/>
    <n v="6596859908"/>
    <x v="0"/>
    <s v="100.91"/>
    <s v="100.91"/>
    <n v="62"/>
    <m/>
    <s v="SOLICITAR EXTINÇÃO DA AÇÃO"/>
    <n v="9999"/>
    <x v="5"/>
    <s v="15.16"/>
    <s v="anakeppe"/>
    <s v="61 a 90"/>
    <s v="ACIONAMENTO"/>
    <x v="4"/>
  </r>
  <r>
    <s v="COGECOM"/>
    <n v="54831897"/>
    <s v="CINTIA POSTINGHER DE LIMA"/>
    <s v="OUT"/>
    <s v="OUTROS"/>
    <n v="94092281072"/>
    <x v="0"/>
    <s v="96.76"/>
    <s v="96.76"/>
    <n v="59"/>
    <m/>
    <s v="SOLICITAR EXTINÇÃO DA AÇÃO"/>
    <n v="9999"/>
    <x v="5"/>
    <s v="15.16"/>
    <s v="anakeppe"/>
    <s v="31 a 60"/>
    <s v="ACIONAMENTO"/>
    <x v="4"/>
  </r>
  <r>
    <s v="COGECOM"/>
    <n v="10897556"/>
    <s v="EVANOR JOSEPH"/>
    <s v="OUT"/>
    <s v="OUTROS"/>
    <n v="70271388242"/>
    <x v="0"/>
    <s v="370.03"/>
    <s v="370.03"/>
    <n v="62"/>
    <s v="NÃO LOCALIZADO"/>
    <s v="TELEFONES SEM ATENDIMENTO"/>
    <n v="0"/>
    <x v="5"/>
    <s v="15.17"/>
    <s v="gleise"/>
    <s v="61 a 90"/>
    <s v="ACIONAMENTO"/>
    <x v="0"/>
  </r>
  <r>
    <s v="COGECOM"/>
    <n v="40087745"/>
    <s v="RENATO LIMA CISZ"/>
    <s v="OUT"/>
    <s v="OUTROS"/>
    <n v="3813390926"/>
    <x v="0"/>
    <s v="91.54"/>
    <s v="91.54"/>
    <n v="60"/>
    <s v="NÃO LOCALIZADO"/>
    <s v="TELEFONES SEM ATENDIMENTO"/>
    <n v="0"/>
    <x v="5"/>
    <s v="15.19"/>
    <s v="gleise"/>
    <s v="31 a 60"/>
    <s v="ACIONAMENTO"/>
    <x v="0"/>
  </r>
  <r>
    <s v="COGECOM"/>
    <n v="10033370492"/>
    <s v="FLAVIA MARTIN MORGENTAL OLIVEIRA"/>
    <s v="OUT"/>
    <s v="OUTROS"/>
    <n v="91545765049"/>
    <x v="0"/>
    <s v="37.65"/>
    <s v="37.65"/>
    <n v="62"/>
    <s v="NÃO LOCALIZADO"/>
    <s v="TELEFONES SEM ATENDIMENTO"/>
    <n v="0"/>
    <x v="5"/>
    <s v="15.20"/>
    <s v="gleise"/>
    <s v="61 a 90"/>
    <s v="ACIONAMENTO"/>
    <x v="0"/>
  </r>
  <r>
    <s v="COGECOM"/>
    <n v="3525481"/>
    <s v="LUIZ FERNANDO DA SILVA DE SANTANA"/>
    <s v="OUT"/>
    <s v="OUTROS"/>
    <n v="8138642912"/>
    <x v="0"/>
    <s v="146.13"/>
    <s v="146.13"/>
    <n v="50"/>
    <s v="NÃO LOCALIZADO"/>
    <s v="TELEFONES SEM ATENDIMENTO"/>
    <n v="0"/>
    <x v="5"/>
    <s v="15.20"/>
    <s v="gleise"/>
    <s v="31 a 60"/>
    <s v="ACIONAMENTO"/>
    <x v="0"/>
  </r>
  <r>
    <s v="COGECOM"/>
    <n v="10020359452"/>
    <s v="CASSIA APARECIDA VILELA SILVA XAVIER"/>
    <s v="OUT"/>
    <s v="OUTROS"/>
    <n v="4219667695"/>
    <x v="0"/>
    <s v="159.27"/>
    <s v="159.27"/>
    <n v="52"/>
    <s v="SEM INTERESSE"/>
    <s v="NEGOCIAÇÃO VIA TELEFONE"/>
    <n v="0"/>
    <x v="5"/>
    <s v="10.56"/>
    <s v="gleise"/>
    <s v="31 a 60"/>
    <s v="CPC"/>
    <x v="1"/>
  </r>
  <r>
    <s v="COGECOM"/>
    <n v="3081773610"/>
    <s v="CLODOALDO THOMASI"/>
    <s v="OUT"/>
    <s v="OUTROS"/>
    <n v="60542608049"/>
    <x v="0"/>
    <s v="241.29"/>
    <s v="131.50"/>
    <n v="54"/>
    <s v="SEM INTERESSE"/>
    <s v="NEGOCIAÇÃO VIA TELEFONE"/>
    <n v="0"/>
    <x v="5"/>
    <s v="10.35"/>
    <s v="gleise"/>
    <s v="31 a 60"/>
    <s v="CPC"/>
    <x v="1"/>
  </r>
  <r>
    <s v="COGECOM"/>
    <n v="99627884"/>
    <s v="DULCE MARIA BRANDT"/>
    <s v="OUT"/>
    <s v="OUTROS"/>
    <n v="2264071958"/>
    <x v="0"/>
    <s v="137.23"/>
    <s v="137.23"/>
    <n v="49"/>
    <s v="NÃO LOCALIZADO"/>
    <s v="TELEFONES SEM ATENDIMENTO"/>
    <n v="0"/>
    <x v="5"/>
    <s v="15.21"/>
    <s v="gleise"/>
    <s v="31 a 60"/>
    <s v="ACIONAMENTO"/>
    <x v="0"/>
  </r>
  <r>
    <s v="COGECOM"/>
    <n v="3004074731"/>
    <s v="PATRICIA GONCALVES DA SILVA"/>
    <s v="OUT"/>
    <s v="OUTROS"/>
    <n v="11362365629"/>
    <x v="0"/>
    <s v="154.20"/>
    <s v="154.20"/>
    <n v="51"/>
    <s v="NÃO LOCALIZADO"/>
    <s v="TELEFONES SEM ATENDIMENTO"/>
    <n v="0"/>
    <x v="5"/>
    <s v="15.22"/>
    <s v="gleise"/>
    <s v="31 a 60"/>
    <s v="ACIONAMENTO"/>
    <x v="0"/>
  </r>
  <r>
    <s v="COGECOM"/>
    <n v="3095284920"/>
    <s v="TAMARA DANIELA REITER"/>
    <s v="OUT"/>
    <s v="OUTROS"/>
    <n v="91349478091"/>
    <x v="0"/>
    <s v="248.72"/>
    <s v="248.72"/>
    <n v="47"/>
    <s v="NÃO LOCALIZADO"/>
    <s v="TELEFONES SEM ATENDIMENTO"/>
    <n v="0"/>
    <x v="5"/>
    <s v="15.23"/>
    <s v="gleise"/>
    <s v="31 a 60"/>
    <s v="ACIONAMENTO"/>
    <x v="0"/>
  </r>
  <r>
    <s v="COGECOM"/>
    <n v="58417532"/>
    <s v="CRISTIANO ANDRADE RODRIGUES"/>
    <s v="OUT"/>
    <s v="OUTROS"/>
    <n v="6688769999"/>
    <x v="0"/>
    <s v="1586.04"/>
    <s v="1586.04"/>
    <n v="150"/>
    <s v="NÃO LOCALIZADO"/>
    <s v="TELEFONES SEM ATENDIMENTO"/>
    <n v="0"/>
    <x v="5"/>
    <s v="10.42"/>
    <s v="gleise"/>
    <s v="91 a 180"/>
    <s v="ACIONAMENTO"/>
    <x v="0"/>
  </r>
  <r>
    <s v="COGECOM"/>
    <n v="10289045"/>
    <s v="DEGMAR DE OLIVEIRA LIMA"/>
    <s v="OUT"/>
    <s v="OUTROS"/>
    <n v="33216584100"/>
    <x v="0"/>
    <s v="525.40"/>
    <s v="525.40"/>
    <n v="52"/>
    <s v="NÃO LOCALIZADO"/>
    <s v="TELEFONES SEM ATENDIMENTO"/>
    <n v="0"/>
    <x v="5"/>
    <s v="10.24"/>
    <s v="gleise"/>
    <s v="31 a 60"/>
    <s v="ACIONAMENTO"/>
    <x v="0"/>
  </r>
  <r>
    <s v="COGECOM"/>
    <n v="4001799115"/>
    <s v="FAIULY PREUSSLER GOMES"/>
    <s v="OUT"/>
    <s v="OUTROS"/>
    <n v="2639323032"/>
    <x v="0"/>
    <s v="142.33"/>
    <s v="142.33"/>
    <n v="45"/>
    <s v="NÃO LOCALIZADO"/>
    <s v="TELEFONES SEM ATENDIMENTO"/>
    <n v="0"/>
    <x v="5"/>
    <s v="15.23"/>
    <s v="gleise"/>
    <s v="31 a 60"/>
    <s v="ACIONAMENTO"/>
    <x v="0"/>
  </r>
  <r>
    <s v="COGECOM"/>
    <n v="3000628957"/>
    <s v="HARRISON CAMPOS VERNEQUE"/>
    <s v="OUT"/>
    <s v="OUTROS"/>
    <n v="2991565675"/>
    <x v="0"/>
    <s v="226.40"/>
    <s v="226.40"/>
    <n v="43"/>
    <s v="NÃO LOCALIZADO"/>
    <s v="TELEFONES SEM ATENDIMENTO"/>
    <n v="0"/>
    <x v="5"/>
    <s v="11.47"/>
    <s v="gleise"/>
    <s v="31 a 60"/>
    <s v="ACIONAMENTO"/>
    <x v="0"/>
  </r>
  <r>
    <s v="COGECOM"/>
    <n v="935147966"/>
    <s v="GRESGA"/>
    <s v="OUT"/>
    <s v="OUTROS"/>
    <n v="77145332000199"/>
    <x v="0"/>
    <s v="1527.61"/>
    <s v="1527.61"/>
    <n v="57"/>
    <s v="NÃO LOCALIZADO"/>
    <s v="TELEFONES SEM ATENDIMENTO"/>
    <n v="0"/>
    <x v="5"/>
    <s v="15.24"/>
    <s v="gleise"/>
    <s v="31 a 60"/>
    <s v="ACIONAMENTO"/>
    <x v="0"/>
  </r>
  <r>
    <s v="COGECOM"/>
    <n v="4002425438"/>
    <s v="LORAINE LEINDECKER TRINDADE"/>
    <s v="OUT"/>
    <s v="OUTROS"/>
    <n v="923119035"/>
    <x v="0"/>
    <s v="80.63"/>
    <s v="80.63"/>
    <n v="73"/>
    <s v="NÃO LOCALIZADO"/>
    <s v="TELEFONES SEM ATENDIMENTO"/>
    <n v="0"/>
    <x v="5"/>
    <s v="10.37"/>
    <s v="gleise"/>
    <s v="61 a 90"/>
    <s v="ACIONAMENTO"/>
    <x v="0"/>
  </r>
  <r>
    <s v="COGECOM"/>
    <n v="43225553"/>
    <s v="MERCADO EXPRESS FLORIANOPOLIS LTDA"/>
    <s v="OUT"/>
    <s v="OUTROS"/>
    <n v="44143138000115"/>
    <x v="0"/>
    <s v="17465.82"/>
    <s v="5321.17"/>
    <n v="157"/>
    <s v="EM NEGOCIAÇÃO"/>
    <s v="NEGOCIAÇÃO VIA TELEFONE"/>
    <n v="0"/>
    <x v="5"/>
    <s v="15.53"/>
    <s v="anakeppe"/>
    <s v="91 a 180"/>
    <s v="CPC"/>
    <x v="2"/>
  </r>
  <r>
    <s v="COGECOM"/>
    <n v="4032110"/>
    <s v="LUIZ VANDERLEI DE FARIAS"/>
    <s v="OUT"/>
    <s v="OUTROS"/>
    <n v="47262796968"/>
    <x v="0"/>
    <s v="211.62"/>
    <s v="99.58"/>
    <n v="44"/>
    <s v="EM NEGOCIAÇÃO"/>
    <s v="NEGOCIAÇÃO VIA WHATSAPP"/>
    <n v="0"/>
    <x v="5"/>
    <s v="9.13"/>
    <s v="l.quadros"/>
    <s v="31 a 60"/>
    <s v="CPC"/>
    <x v="2"/>
  </r>
  <r>
    <s v="COGECOM"/>
    <n v="19939515"/>
    <s v="METALÚRGICA PLUMA LTDA"/>
    <s v="OUT"/>
    <s v="OUTROS"/>
    <n v="77691947000110"/>
    <x v="0"/>
    <s v="2818.52"/>
    <s v="2818.52"/>
    <n v="186"/>
    <s v="SEM INTERESSE"/>
    <s v="NEGOCIAÇÃO VIA TELEFONE"/>
    <n v="0"/>
    <x v="5"/>
    <s v="16.04"/>
    <s v="gleise"/>
    <s v="181 a 360"/>
    <s v="CPC"/>
    <x v="1"/>
  </r>
  <r>
    <s v="COGECOM"/>
    <n v="40290680"/>
    <s v="KAMILA SILVA CRUCIOL"/>
    <s v="OUT"/>
    <s v="OUTROS"/>
    <n v="2693868904"/>
    <x v="0"/>
    <s v="1660.72"/>
    <s v="1660.72"/>
    <n v="76"/>
    <s v="NÃO LOCALIZADO"/>
    <s v="TELEFONES SEM ATENDIMENTO"/>
    <n v="0"/>
    <x v="5"/>
    <s v="16.06"/>
    <s v="gleise"/>
    <s v="61 a 90"/>
    <s v="ACIONAMENTO"/>
    <x v="0"/>
  </r>
  <r>
    <s v="COGECOM"/>
    <n v="61713325"/>
    <s v="HUGO LISOT"/>
    <s v="OUT"/>
    <s v="OUTROS"/>
    <n v="14225972968"/>
    <x v="0"/>
    <s v="1926.35"/>
    <s v="1926.35"/>
    <n v="42"/>
    <s v="SEM INTERESSE"/>
    <s v="NEGOCIAÇÃO VIA TELEFONE"/>
    <n v="0"/>
    <x v="5"/>
    <s v="16.34"/>
    <s v="l.quadros"/>
    <s v="31 a 60"/>
    <s v="CPC"/>
    <x v="1"/>
  </r>
  <r>
    <s v="COGECOM"/>
    <n v="3092937962"/>
    <s v="NORBERTO LUIS DE FRAGA"/>
    <s v="OUT"/>
    <s v="OUTROS"/>
    <n v="248638076"/>
    <x v="0"/>
    <s v="207.93"/>
    <s v="207.93"/>
    <n v="42"/>
    <s v="EM NEGOCIAÇÃO"/>
    <s v="NEGOCIAÇÃO VIA WHATSAPP"/>
    <n v="0"/>
    <x v="5"/>
    <s v="10.54"/>
    <s v="l.quadros"/>
    <s v="31 a 60"/>
    <s v="CPC"/>
    <x v="2"/>
  </r>
  <r>
    <s v="COGECOM"/>
    <n v="28345232"/>
    <s v="JOYCE GABLE MELO VIEIRA CALDEIRA"/>
    <s v="OUT"/>
    <s v="OUTROS"/>
    <n v="67915728920"/>
    <x v="0"/>
    <s v="77.26"/>
    <s v="77.26"/>
    <n v="38"/>
    <s v="NÃO LOCALIZADO"/>
    <s v="TELEFONES SEM ATENDIMENTO"/>
    <n v="0"/>
    <x v="5"/>
    <s v="11.08"/>
    <s v="gleise"/>
    <s v="31 a 60"/>
    <s v="ACIONAMENTO"/>
    <x v="0"/>
  </r>
  <r>
    <s v="COGECOM"/>
    <n v="42069688"/>
    <s v="FABIO EDUARDO C"/>
    <s v="OUT"/>
    <s v="OUTROS"/>
    <n v="28330708888"/>
    <x v="0"/>
    <s v="821.21"/>
    <s v="821.21"/>
    <n v="32"/>
    <s v="NÃO LOCALIZADO"/>
    <s v="TELEFONES SEM ATENDIMENTO"/>
    <n v="0"/>
    <x v="5"/>
    <s v="15.37"/>
    <s v="gleise"/>
    <s v="31 a 60"/>
    <s v="ACIONAMENTO"/>
    <x v="0"/>
  </r>
  <r>
    <s v="COGECOM"/>
    <n v="87233401"/>
    <s v="JONATHAN FERREIRA BORATO"/>
    <s v="OUT"/>
    <s v="OUTROS"/>
    <n v="4273758946"/>
    <x v="0"/>
    <s v="459.33"/>
    <s v="459.33"/>
    <n v="1804"/>
    <s v="NÃO LOCALIZADO"/>
    <s v="TELEFONES SEM ATENDIMENTO"/>
    <n v="0"/>
    <x v="6"/>
    <s v="14.27"/>
    <s v="gleise"/>
    <s v="Acima de 361"/>
    <s v="ACIONAMENTO"/>
    <x v="0"/>
  </r>
  <r>
    <s v="COGECOM"/>
    <n v="636843"/>
    <s v="FREDERICO ROMERO SONNI"/>
    <s v="OUT"/>
    <s v="OUTROS"/>
    <n v="692335943"/>
    <x v="0"/>
    <s v="4861.71"/>
    <s v="1746.20"/>
    <n v="1191"/>
    <s v="NÃO LOCALIZADO"/>
    <s v="TELEFONES SEM ATENDIMENTO"/>
    <n v="0"/>
    <x v="6"/>
    <s v="11.44"/>
    <s v="gleise"/>
    <s v="Acima de 361"/>
    <s v="ACIONAMENTO"/>
    <x v="0"/>
  </r>
  <r>
    <s v="COGECOM"/>
    <n v="40371719"/>
    <s v="ANDERSON MAREGA JUSSANI EMBALAGENS PLÁSTICAS"/>
    <s v="OUT"/>
    <s v="OUTROS"/>
    <n v="24494298000100"/>
    <x v="0"/>
    <s v="4982.79"/>
    <s v="4982.79"/>
    <n v="766"/>
    <s v="NÃO LOCALIZADO"/>
    <s v="TELEFONES SEM ATENDIMENTO"/>
    <n v="0"/>
    <x v="6"/>
    <s v="9.45"/>
    <s v="gleise"/>
    <s v="Acima de 361"/>
    <s v="ACIONAMENTO"/>
    <x v="0"/>
  </r>
  <r>
    <s v="COGECOM"/>
    <n v="3095629834"/>
    <s v="ANDERSON ROBERTO PEREIRA DE MORAES"/>
    <s v="OUT"/>
    <s v="OUTROS"/>
    <n v="126260079"/>
    <x v="0"/>
    <s v="190.14"/>
    <s v="598.48"/>
    <n v="262"/>
    <s v="AG RESPOSTA 1º CONTATO"/>
    <s v="GERAÇÃO DE ACORDO"/>
    <n v="0"/>
    <x v="6"/>
    <s v="14.45"/>
    <s v="l.quadros"/>
    <s v="181 a 360"/>
    <s v="CPC"/>
    <x v="4"/>
  </r>
  <r>
    <s v="COGECOM"/>
    <n v="3013224410"/>
    <s v="ANDRE LUIS FERREIRA LIMA"/>
    <s v="OUT"/>
    <s v="OUTROS"/>
    <n v="1509530622"/>
    <x v="0"/>
    <s v="112.49"/>
    <s v="14.81"/>
    <n v="276"/>
    <s v="NÃO LOCALIZADO"/>
    <s v="TELEFONES SEM ATENDIMENTO"/>
    <n v="0"/>
    <x v="6"/>
    <s v="14.33"/>
    <s v="gleise"/>
    <s v="181 a 360"/>
    <s v="ACIONAMENTO"/>
    <x v="0"/>
  </r>
  <r>
    <s v="COGECOM"/>
    <n v="3001969526"/>
    <s v="ANDRE RIBEIRO DE AVELAR"/>
    <s v="OUT"/>
    <s v="OUTROS"/>
    <n v="1227474610"/>
    <x v="0"/>
    <s v="498.79"/>
    <s v="90.92"/>
    <n v="193"/>
    <m/>
    <s v="SOLICITAR EXTINÇÃO DA AÇÃO"/>
    <n v="9999"/>
    <x v="6"/>
    <s v="16.59"/>
    <s v="anakeppe"/>
    <s v="181 a 360"/>
    <s v="ACIONAMENTO"/>
    <x v="4"/>
  </r>
  <r>
    <s v="COGECOM"/>
    <n v="83926119"/>
    <s v="ANDREI ANDREATTA DA SILVA"/>
    <s v="OUT"/>
    <s v="OUTROS"/>
    <n v="5852456900"/>
    <x v="0"/>
    <s v="368.17"/>
    <s v="107.35"/>
    <n v="553"/>
    <s v="SEM INTERESSE"/>
    <s v="NEGOCIAÇÃO VIA TELEFONE"/>
    <n v="0"/>
    <x v="6"/>
    <s v="14.36"/>
    <s v="gleise"/>
    <s v="Acima de 361"/>
    <s v="CPC"/>
    <x v="1"/>
  </r>
  <r>
    <s v="COGECOM"/>
    <n v="3005913919"/>
    <s v="ANGELA APARECIDA OLIVEIRA DIAS"/>
    <s v="OUT"/>
    <s v="OUTROS"/>
    <n v="74267540659"/>
    <x v="0"/>
    <s v="663.64"/>
    <s v="296.78"/>
    <n v="441"/>
    <s v="AG RESPOSTA 1º CONTATO"/>
    <s v="SOLICITAR EXTINÇÃO DA AÇÃO"/>
    <n v="5"/>
    <x v="6"/>
    <s v="16.59"/>
    <s v="gleise"/>
    <s v="Acima de 361"/>
    <s v="ACIONAMENTO"/>
    <x v="4"/>
  </r>
  <r>
    <s v="COGECOM"/>
    <n v="4001430626"/>
    <s v="ARLINDO BUZATTO"/>
    <s v="OUT"/>
    <s v="OUTROS"/>
    <n v="19402783091"/>
    <x v="0"/>
    <s v="346.02"/>
    <s v="346.02"/>
    <n v="498"/>
    <s v="NÃO LOCALIZADO"/>
    <s v="TELEFONES SEM ATENDIMENTO"/>
    <n v="0"/>
    <x v="6"/>
    <s v="15.23"/>
    <s v="gleise"/>
    <s v="Acima de 361"/>
    <s v="ACIONAMENTO"/>
    <x v="0"/>
  </r>
  <r>
    <s v="COGECOM"/>
    <n v="3091260474"/>
    <s v="AUSGUSTO CESAR ERTHAL"/>
    <s v="OUT"/>
    <s v="OUTROS"/>
    <n v="98101226087"/>
    <x v="0"/>
    <s v="138.97"/>
    <s v="138.97"/>
    <n v="225"/>
    <m/>
    <s v="SOLICITAR EXTINÇÃO DA AÇÃO"/>
    <n v="9999"/>
    <x v="6"/>
    <s v="17.01"/>
    <s v="anakeppe"/>
    <s v="181 a 360"/>
    <s v="ACIONAMENTO"/>
    <x v="4"/>
  </r>
  <r>
    <s v="COGECOM"/>
    <n v="10030913584"/>
    <s v="BRUNA EVELLYN SILVA FONSECA"/>
    <s v="OUT"/>
    <s v="OUTROS"/>
    <n v="70036341126"/>
    <x v="0"/>
    <s v="1058.68"/>
    <s v="56.19"/>
    <n v="204"/>
    <m/>
    <s v="SOLICITAR EXTINÇÃO DA AÇÃO"/>
    <n v="9999"/>
    <x v="6"/>
    <s v="17.00"/>
    <s v="anakeppe"/>
    <s v="181 a 360"/>
    <s v="ACIONAMENTO"/>
    <x v="4"/>
  </r>
  <r>
    <s v="COGECOM"/>
    <n v="3010191853"/>
    <s v="BRUNO VILAS NOVAS CELSO"/>
    <s v="OUT"/>
    <s v="OUTROS"/>
    <n v="11762221632"/>
    <x v="0"/>
    <s v="280.64"/>
    <s v="94.15"/>
    <n v="340"/>
    <s v="NÃO LOCALIZADO"/>
    <s v="SOLICITAR EXTINÇÃO DA AÇÃO"/>
    <n v="8"/>
    <x v="6"/>
    <s v="17.01"/>
    <s v="anakeppe"/>
    <s v="181 a 360"/>
    <s v="ACIONAMENTO"/>
    <x v="0"/>
  </r>
  <r>
    <s v="COGECOM"/>
    <n v="29730571"/>
    <s v="CAIO CESAR MOSER"/>
    <s v="OUT"/>
    <s v="OUTROS"/>
    <n v="5364107981"/>
    <x v="0"/>
    <s v="92.23"/>
    <s v="92.23"/>
    <n v="529"/>
    <s v="NÃO LOCALIZADO"/>
    <s v="TELEFONES SEM ATENDIMENTO"/>
    <n v="0"/>
    <x v="6"/>
    <s v="10.38"/>
    <s v="gleise"/>
    <s v="Acima de 361"/>
    <s v="ACIONAMENTO"/>
    <x v="0"/>
  </r>
  <r>
    <s v="COGECOM"/>
    <n v="3095738549"/>
    <s v="CAMILA DOS SANTOS SILVA"/>
    <s v="OUT"/>
    <s v="OUTROS"/>
    <n v="589256009"/>
    <x v="0"/>
    <s v="520.56"/>
    <s v="81.64"/>
    <n v="268"/>
    <s v="EM NEGOCIAÇÃO"/>
    <s v="SOLICITAR EXTINÇÃO DA AÇÃO"/>
    <n v="9999"/>
    <x v="6"/>
    <s v="17.02"/>
    <s v="anakeppe"/>
    <s v="181 a 360"/>
    <s v="ACIONAMENTO"/>
    <x v="2"/>
  </r>
  <r>
    <s v="COGECOM"/>
    <n v="86452924"/>
    <s v="CASSIELLE FLORIANI"/>
    <s v="OUT"/>
    <s v="OUTROS"/>
    <n v="21993933000105"/>
    <x v="0"/>
    <s v="6179.48"/>
    <s v="917.10"/>
    <n v="1227"/>
    <s v="NÃO LOCALIZADO"/>
    <s v="PESQUISA NEGATIVA"/>
    <n v="0"/>
    <x v="6"/>
    <s v="9.57"/>
    <s v="gleise"/>
    <s v="Acima de 361"/>
    <s v="ACIONAMENTO"/>
    <x v="0"/>
  </r>
  <r>
    <s v="COGECOM"/>
    <n v="4830000212"/>
    <s v="CELIA SILVESTRE DOS ANJOS"/>
    <s v="OUT"/>
    <s v="OUTROS"/>
    <n v="33383537153"/>
    <x v="0"/>
    <s v="670.98"/>
    <s v="56.01"/>
    <n v="279"/>
    <s v="SEM INTERESSE"/>
    <s v="NEGOCIAÇÃO VIA TELEFONE"/>
    <n v="0"/>
    <x v="6"/>
    <s v="14.41"/>
    <s v="gleise"/>
    <s v="181 a 360"/>
    <s v="CPC"/>
    <x v="1"/>
  </r>
  <r>
    <s v="COGECOM"/>
    <n v="86279114"/>
    <s v="CLAUDINEI SOUZA"/>
    <s v="OUT"/>
    <s v="OUTROS"/>
    <n v="2111074926"/>
    <x v="0"/>
    <s v="1732.00"/>
    <s v="216.50"/>
    <n v="492"/>
    <s v="NÃO LOCALIZADO"/>
    <s v="TELEFONES SEM ATENDIMENTO"/>
    <n v="0"/>
    <x v="6"/>
    <s v="11.48"/>
    <s v="gleise"/>
    <s v="Acima de 361"/>
    <s v="ACIONAMENTO"/>
    <x v="0"/>
  </r>
  <r>
    <s v="COGECOM"/>
    <n v="13175488"/>
    <s v="CLAUDIO MENESES DE OLIVEIRA"/>
    <s v="OUT"/>
    <s v="OUTROS"/>
    <n v="90852966172"/>
    <x v="0"/>
    <s v="1004.99"/>
    <s v="124.67"/>
    <n v="352"/>
    <s v="NÃO LOCALIZADO"/>
    <s v="TELEFONES SEM ATENDIMENTO"/>
    <n v="0"/>
    <x v="6"/>
    <s v="14.04"/>
    <s v="gleise"/>
    <s v="181 a 360"/>
    <s v="ACIONAMENTO"/>
    <x v="0"/>
  </r>
  <r>
    <s v="COGECOM"/>
    <n v="50558649"/>
    <s v="COMPADRE BEBIDAS EIRELI"/>
    <s v="OUT"/>
    <s v="OUTROS"/>
    <n v="41491023000123"/>
    <x v="0"/>
    <s v="3641.79"/>
    <s v="362.84"/>
    <n v="705"/>
    <s v="NÃO LOCALIZADO"/>
    <s v="TELEFONES SEM ATENDIMENTO"/>
    <n v="0"/>
    <x v="6"/>
    <s v="11.07"/>
    <s v="gleise"/>
    <s v="Acima de 361"/>
    <s v="ACIONAMENTO"/>
    <x v="0"/>
  </r>
  <r>
    <s v="COGECOM"/>
    <n v="10019648365"/>
    <s v="DANIEL DE SOUZA CASTRO"/>
    <s v="OUT"/>
    <s v="OUTROS"/>
    <n v="99479486172"/>
    <x v="0"/>
    <s v="1186.37"/>
    <s v="292.04"/>
    <n v="367"/>
    <s v="AG RESPOSTA 1º CONTATO"/>
    <s v="ENVIADO MSG/E-MAIL 1º CONTATO"/>
    <n v="0"/>
    <x v="6"/>
    <s v="10.29"/>
    <s v="l.quadros"/>
    <s v="Acima de 361"/>
    <s v="ACIONAMENTO"/>
    <x v="4"/>
  </r>
  <r>
    <s v="COGECOM"/>
    <n v="3263827"/>
    <s v="DANIELA ALEXANDRA BACHMANN"/>
    <s v="OUT"/>
    <s v="OUTROS"/>
    <n v="89176960900"/>
    <x v="0"/>
    <s v="999.58"/>
    <s v="156.85"/>
    <n v="448"/>
    <s v="EM NEGOCIAÇÃO"/>
    <s v="SOLICITAR EXTINÇÃO DA AÇÃO"/>
    <n v="161"/>
    <x v="6"/>
    <s v="17.05"/>
    <s v="anakeppe"/>
    <s v="Acima de 361"/>
    <s v="ACIONAMENTO"/>
    <x v="2"/>
  </r>
  <r>
    <s v="COGECOM"/>
    <n v="63292459"/>
    <s v="DANIELI DE OLIVEIRA DIAS CAMPOS"/>
    <s v="OUT"/>
    <s v="OUTROS"/>
    <n v="5606185903"/>
    <x v="0"/>
    <s v="282.91"/>
    <s v="62.75"/>
    <n v="699"/>
    <s v="NÃO LOCALIZADO"/>
    <s v="TELEFONES SEM ATENDIMENTO"/>
    <n v="0"/>
    <x v="6"/>
    <s v="17.09"/>
    <s v="gleise"/>
    <s v="Acima de 361"/>
    <s v="ACIONAMENTO"/>
    <x v="0"/>
  </r>
  <r>
    <s v="COGECOM"/>
    <n v="3006656443"/>
    <s v="DANYANE ALVES DE CARVALHO BERNARDES"/>
    <s v="OUT"/>
    <s v="OUTROS"/>
    <n v="3974955607"/>
    <x v="0"/>
    <s v="84.58"/>
    <s v="45.90"/>
    <n v="443"/>
    <s v="SEM INTERESSE"/>
    <s v="NEGOCIAÇÃO VIA TELEFONE"/>
    <n v="0"/>
    <x v="6"/>
    <s v="14.44"/>
    <s v="gleise"/>
    <s v="Acima de 361"/>
    <s v="CPC"/>
    <x v="1"/>
  </r>
  <r>
    <s v="COGECOM"/>
    <n v="47195772"/>
    <s v="DARIO SCHAPPO"/>
    <s v="OUT"/>
    <s v="OUTROS"/>
    <n v="5720978917"/>
    <x v="0"/>
    <s v="648.99"/>
    <s v="249.77"/>
    <n v="309"/>
    <s v="AG RESPOSTA 1º CONTATO"/>
    <s v="SOLICITAR EXTINÇÃO DA AÇÃO"/>
    <n v="6"/>
    <x v="6"/>
    <s v="17.05"/>
    <s v="anakeppe"/>
    <s v="181 a 360"/>
    <s v="ACIONAMENTO"/>
    <x v="4"/>
  </r>
  <r>
    <s v="COGECOM"/>
    <n v="46846010"/>
    <s v="DAVID COSTA"/>
    <s v="OUT"/>
    <s v="OUTROS"/>
    <n v="369103920"/>
    <x v="0"/>
    <s v="252.70"/>
    <s v="114.84"/>
    <n v="531"/>
    <s v="AG RESPOSTA 1º CONTATO"/>
    <s v="ENVIADO MSG/E-MAIL 1º CONTATO"/>
    <n v="0"/>
    <x v="6"/>
    <s v="10.39"/>
    <s v="l.quadros"/>
    <s v="Acima de 361"/>
    <s v="ACIONAMENTO"/>
    <x v="4"/>
  </r>
  <r>
    <s v="COGECOM"/>
    <n v="3007430200"/>
    <s v="DELMINO LUCAS FERNANDES GONCALVES"/>
    <s v="OUT"/>
    <s v="OUTROS"/>
    <n v="11095545671"/>
    <x v="0"/>
    <s v="193.43"/>
    <s v="88.29"/>
    <n v="276"/>
    <s v="AG RESPOSTA 1º CONTATO"/>
    <s v="ENVIADO MSG/E-MAIL 1º CONTATO"/>
    <n v="0"/>
    <x v="6"/>
    <s v="9.20"/>
    <s v="l.quadros"/>
    <s v="181 a 360"/>
    <s v="ACIONAMENTO"/>
    <x v="4"/>
  </r>
  <r>
    <s v="COGECOM"/>
    <n v="49608690"/>
    <s v="DIOGO GOMES DA SILVA"/>
    <s v="OUT"/>
    <s v="OUTROS"/>
    <n v="72373822172"/>
    <x v="0"/>
    <s v="4877.03"/>
    <s v="1466.33"/>
    <n v="645"/>
    <s v="NÃO LOCALIZADO"/>
    <s v="TELEFONES SEM ATENDIMENTO"/>
    <n v="0"/>
    <x v="6"/>
    <s v="9.53"/>
    <s v="gleise"/>
    <s v="Acima de 361"/>
    <s v="ACIONAMENTO"/>
    <x v="0"/>
  </r>
  <r>
    <s v="COGECOM"/>
    <n v="3003322629"/>
    <s v="DK OUTONO LTDA"/>
    <s v="OUT"/>
    <s v="OUTROS"/>
    <n v="38948695000100"/>
    <x v="0"/>
    <s v="8182.26"/>
    <s v="283.72"/>
    <n v="699"/>
    <s v="NÃO LOCALIZADO"/>
    <s v="TELEFONES SEM ATENDIMENTO"/>
    <n v="0"/>
    <x v="6"/>
    <s v="10.23"/>
    <s v="gleise"/>
    <s v="Acima de 361"/>
    <s v="ACIONAMENTO"/>
    <x v="0"/>
  </r>
  <r>
    <s v="COGECOM"/>
    <n v="3085386041"/>
    <s v="EA MARTINS DE OLIVEIRA"/>
    <s v="OUT"/>
    <s v="OUTROS"/>
    <n v="36955553000145"/>
    <x v="0"/>
    <s v="535.76"/>
    <s v="535.76"/>
    <n v="498"/>
    <s v="NÃO LOCALIZADO"/>
    <s v="TELEFONES SEM ATENDIMENTO"/>
    <n v="0"/>
    <x v="6"/>
    <s v="10.18"/>
    <s v="gleise"/>
    <s v="Acima de 361"/>
    <s v="ACIONAMENTO"/>
    <x v="0"/>
  </r>
  <r>
    <s v="COGECOM"/>
    <n v="10025697305"/>
    <s v="EDIVANE RAMOS MAGALHAES"/>
    <s v="OUT"/>
    <s v="OUTROS"/>
    <n v="3428813375"/>
    <x v="0"/>
    <s v="936.82"/>
    <s v="262.71"/>
    <n v="276"/>
    <s v="SEM CONDIÇÕES"/>
    <s v="NEGOCIAÇÃO VIA TELEFONE"/>
    <n v="0"/>
    <x v="6"/>
    <s v="14.48"/>
    <s v="gleise"/>
    <s v="181 a 360"/>
    <s v="CPC"/>
    <x v="3"/>
  </r>
  <r>
    <s v="COGECOM"/>
    <n v="102400580"/>
    <s v="EDSON DA SILVA"/>
    <s v="OUT"/>
    <s v="OUTROS"/>
    <n v="922144958"/>
    <x v="0"/>
    <s v="871.74"/>
    <s v="121.01"/>
    <n v="238"/>
    <s v="NÃO LOCALIZADO"/>
    <s v="TELEFONES SEM ATENDIMENTO"/>
    <n v="0"/>
    <x v="6"/>
    <s v="9.38"/>
    <s v="gleise"/>
    <s v="181 a 360"/>
    <s v="ACIONAMENTO"/>
    <x v="0"/>
  </r>
  <r>
    <s v="COGECOM"/>
    <n v="84141212"/>
    <s v="EDUARDO PAIOLA KMIECIK"/>
    <s v="OUT"/>
    <s v="OUTROS"/>
    <n v="3437770969"/>
    <x v="0"/>
    <s v="594.58"/>
    <s v="360.70"/>
    <n v="352"/>
    <s v="SEM INTERESSE"/>
    <s v="NEGOCIAÇÃO VIA TELEFONE"/>
    <n v="0"/>
    <x v="6"/>
    <s v="10.20"/>
    <s v="gleise"/>
    <s v="181 a 360"/>
    <s v="CPC"/>
    <x v="1"/>
  </r>
  <r>
    <s v="COGECOM"/>
    <n v="1768972"/>
    <s v="EMPORIO E HORTIFRUTI STRAPASSON LTDA EPP"/>
    <s v="OUT"/>
    <s v="OUTROS"/>
    <n v="20525116000151"/>
    <x v="0"/>
    <s v="2934.23"/>
    <s v="2797.84"/>
    <n v="1439"/>
    <s v="NÃO LOCALIZADO"/>
    <s v="TELEFONES SEM ATENDIMENTO"/>
    <n v="0"/>
    <x v="6"/>
    <s v="10.49"/>
    <s v="gleise"/>
    <s v="Acima de 361"/>
    <s v="ACIONAMENTO"/>
    <x v="0"/>
  </r>
  <r>
    <s v="COGECOM"/>
    <n v="12547808"/>
    <s v="FABIANO MIGUEL ZAINE"/>
    <s v="OUT"/>
    <s v="OUTROS"/>
    <n v="4373930970"/>
    <x v="0"/>
    <s v="924.27"/>
    <s v="480.97"/>
    <n v="203"/>
    <s v="EM NEGOCIAÇÃO"/>
    <s v="NEGOCIAÇÃO VIA TELEFONE"/>
    <n v="0"/>
    <x v="6"/>
    <s v="14.52"/>
    <s v="anakeppe"/>
    <s v="181 a 360"/>
    <s v="CPC"/>
    <x v="2"/>
  </r>
  <r>
    <s v="COGECOM"/>
    <n v="3095144936"/>
    <s v="FELIPE GEOVANE JANISCH"/>
    <s v="OUT"/>
    <s v="OUTROS"/>
    <n v="2779512083"/>
    <x v="0"/>
    <s v="181.22"/>
    <s v="181.22"/>
    <n v="194"/>
    <s v="SEM INTERESSE"/>
    <s v="NEGOCIAÇÃO VIA TELEFONE"/>
    <n v="0"/>
    <x v="6"/>
    <s v="17.19"/>
    <s v="l.quadros"/>
    <s v="181 a 360"/>
    <s v="CPC"/>
    <x v="1"/>
  </r>
  <r>
    <s v="COGECOM"/>
    <n v="45235165"/>
    <s v="FERNANDA ROBERTA REINERT"/>
    <s v="OUT"/>
    <s v="OUTROS"/>
    <n v="8492939958"/>
    <x v="0"/>
    <s v="922.68"/>
    <s v="184.00"/>
    <n v="362"/>
    <s v="NÃO LOCALIZADO"/>
    <s v="TELEFONES SEM ATENDIMENTO"/>
    <n v="0"/>
    <x v="6"/>
    <s v="11.51"/>
    <s v="gleise"/>
    <s v="Acima de 361"/>
    <s v="ACIONAMENTO"/>
    <x v="0"/>
  </r>
  <r>
    <s v="COGECOM"/>
    <n v="4001683104"/>
    <s v="GUILHERME CARDOSO"/>
    <s v="OUT"/>
    <s v="OUTROS"/>
    <n v="98853988053"/>
    <x v="0"/>
    <s v="471.42"/>
    <s v="241.58"/>
    <n v="321"/>
    <s v="NÃO LOCALIZADO"/>
    <s v="TELEFONES SEM ATENDIMENTO"/>
    <n v="0"/>
    <x v="6"/>
    <s v="15.26"/>
    <s v="gleise"/>
    <s v="181 a 360"/>
    <s v="ACIONAMENTO"/>
    <x v="0"/>
  </r>
  <r>
    <s v="COGECOM"/>
    <n v="50726908"/>
    <s v="GUSTAVO ANDRETTI GAMBA"/>
    <s v="OUT"/>
    <s v="OUTROS"/>
    <n v="5551841960"/>
    <x v="0"/>
    <s v="108.39"/>
    <s v="198.43"/>
    <n v="187"/>
    <m/>
    <s v="SOLICITAR EXTINÇÃO DA AÇÃO"/>
    <n v="9999"/>
    <x v="6"/>
    <s v="14.53"/>
    <s v="anakeppe"/>
    <s v="181 a 360"/>
    <s v="ACIONAMENTO"/>
    <x v="4"/>
  </r>
  <r>
    <s v="COGECOM"/>
    <n v="104910488"/>
    <s v="JOÃO GABRIEL ANDRADE MALAQUIAS EIRELI"/>
    <s v="OUT"/>
    <s v="OUTROS"/>
    <n v="32696894000192"/>
    <x v="0"/>
    <s v="3790.07"/>
    <s v="1360.13"/>
    <n v="1311"/>
    <s v="NÃO LOCALIZADO"/>
    <s v="TELEFONES SEM ATENDIMENTO"/>
    <n v="0"/>
    <x v="6"/>
    <s v="10.54"/>
    <s v="gleise"/>
    <s v="Acima de 361"/>
    <s v="ACIONAMENTO"/>
    <x v="0"/>
  </r>
  <r>
    <s v="COGECOM"/>
    <n v="27387500"/>
    <s v="JOSE HENRIQUE RIBEIRO"/>
    <s v="OUT"/>
    <s v="OUTROS"/>
    <n v="5480486900"/>
    <x v="0"/>
    <s v="845.12"/>
    <s v="139.17"/>
    <n v="612"/>
    <s v="AG RESPOSTA 1º CONTATO"/>
    <s v="ENVIADO MSG/E-MAIL 1º CONTATO"/>
    <n v="0"/>
    <x v="6"/>
    <s v="10.33"/>
    <s v="l.quadros"/>
    <s v="Acima de 361"/>
    <s v="ACIONAMENTO"/>
    <x v="4"/>
  </r>
  <r>
    <s v="COGECOM"/>
    <n v="3004105314"/>
    <s v="JULIANA FERREIRA GALLO"/>
    <s v="OUT"/>
    <s v="OUTROS"/>
    <n v="98910230606"/>
    <x v="0"/>
    <s v="1164.99"/>
    <s v="419.99"/>
    <n v="163"/>
    <s v="NÃO LOCALIZADO"/>
    <s v="TELEFONES SEM ATENDIMENTO"/>
    <n v="0"/>
    <x v="6"/>
    <s v="9.24"/>
    <s v="gleise"/>
    <s v="91 a 180"/>
    <s v="ACIONAMENTO"/>
    <x v="0"/>
  </r>
  <r>
    <s v="COGECOM"/>
    <n v="85594768"/>
    <s v="KELMI VALERIA SOUZA"/>
    <s v="OUT"/>
    <s v="OUTROS"/>
    <n v="2256755959"/>
    <x v="0"/>
    <s v="2161.22"/>
    <s v="569.18"/>
    <n v="576"/>
    <s v="SEM INTERESSE"/>
    <s v="NEGOCIAÇÃO VIA WHATSAPP"/>
    <n v="0"/>
    <x v="6"/>
    <s v="15.15"/>
    <s v="l.quadros"/>
    <s v="Acima de 361"/>
    <s v="CPC"/>
    <x v="1"/>
  </r>
  <r>
    <s v="COGECOM"/>
    <n v="559083"/>
    <s v="LENIR GONCALVES DA SILVA FILHO"/>
    <s v="OUT"/>
    <s v="OUTROS"/>
    <n v="93601441934"/>
    <x v="0"/>
    <s v="104.95"/>
    <s v="331.27"/>
    <n v="399"/>
    <s v="NÃO LOCALIZADO"/>
    <s v="TELEFONES SEM ATENDIMENTO"/>
    <n v="0"/>
    <x v="6"/>
    <s v="14.12"/>
    <s v="gleise"/>
    <s v="Acima de 361"/>
    <s v="ACIONAMENTO"/>
    <x v="0"/>
  </r>
  <r>
    <s v="COGECOM"/>
    <n v="12746800"/>
    <s v="LUZIA CARNEIRO DOS SANTOS"/>
    <s v="OUT"/>
    <s v="OUTROS"/>
    <n v="30066697115"/>
    <x v="0"/>
    <s v="1128.73"/>
    <s v="64.89"/>
    <n v="219"/>
    <s v="NÃO LOCALIZADO"/>
    <s v="TELEFONES SEM ATENDIMENTO"/>
    <n v="0"/>
    <x v="6"/>
    <s v="11.37"/>
    <s v="gleise"/>
    <s v="181 a 360"/>
    <s v="ACIONAMENTO"/>
    <x v="0"/>
  </r>
  <r>
    <s v="COGECOM"/>
    <n v="21280526"/>
    <s v="MARCIA ALESSANDRA BRILHANTE LEITE"/>
    <s v="OUT"/>
    <s v="OUTROS"/>
    <n v="76826430134"/>
    <x v="0"/>
    <s v="145.40"/>
    <s v="50.90"/>
    <n v="340"/>
    <s v="SEM INTERESSE"/>
    <s v="NEGOCIAÇÃO VIA TELEFONE"/>
    <n v="0"/>
    <x v="6"/>
    <s v="15.26"/>
    <s v="l.quadros"/>
    <s v="181 a 360"/>
    <s v="CPC"/>
    <x v="1"/>
  </r>
  <r>
    <s v="COGECOM"/>
    <n v="31503752"/>
    <s v="MICHELI DE OLIVIERA MENDES FERREIRA"/>
    <s v="OUT"/>
    <s v="OUTROS"/>
    <n v="32856242804"/>
    <x v="0"/>
    <s v="321.76"/>
    <s v="193.45"/>
    <n v="653"/>
    <s v="NÃO LOCALIZADO"/>
    <s v="TELEFONES SEM ATENDIMENTO"/>
    <n v="0"/>
    <x v="6"/>
    <s v="10.25"/>
    <s v="gleise"/>
    <s v="Acima de 361"/>
    <s v="ACIONAMENTO"/>
    <x v="0"/>
  </r>
  <r>
    <s v="COGECOM"/>
    <n v="44023873"/>
    <s v="NATHALIA CAMPOS BRESCIANI"/>
    <s v="OUT"/>
    <s v="OUTROS"/>
    <n v="11518516980"/>
    <x v="0"/>
    <s v="647.29"/>
    <s v="199.18"/>
    <n v="246"/>
    <s v="NÃO LOCALIZADO"/>
    <s v="TELEFONES SEM ATENDIMENTO"/>
    <n v="0"/>
    <x v="6"/>
    <s v="11.46"/>
    <s v="gleise"/>
    <s v="181 a 360"/>
    <s v="ACIONAMENTO"/>
    <x v="0"/>
  </r>
  <r>
    <s v="COGECOM"/>
    <n v="3007469046"/>
    <s v="RENATO DE PAULA EDUARDO"/>
    <s v="OUT"/>
    <s v="OUTROS"/>
    <n v="75867559653"/>
    <x v="0"/>
    <s v="271.26"/>
    <s v="114.71"/>
    <n v="276"/>
    <s v="AG RESPOSTA 1º CONTATO"/>
    <s v="ENVIADO MSG/E-MAIL 1º CONTATO"/>
    <n v="0"/>
    <x v="6"/>
    <s v="15.30"/>
    <s v="l.quadros"/>
    <s v="181 a 360"/>
    <s v="ACIONAMENTO"/>
    <x v="4"/>
  </r>
  <r>
    <s v="COGECOM"/>
    <n v="3001167304"/>
    <s v="ROBERIO PEREIRA FERRAZ"/>
    <s v="OUT"/>
    <s v="OUTROS"/>
    <n v="70347417604"/>
    <x v="0"/>
    <s v="379.80"/>
    <s v="130.73"/>
    <n v="339"/>
    <s v="NÃO LOCALIZADO"/>
    <s v="TELEFONES SEM ATENDIMENTO"/>
    <n v="0"/>
    <x v="6"/>
    <s v="11.20"/>
    <s v="gleise"/>
    <s v="181 a 360"/>
    <s v="ACIONAMENTO"/>
    <x v="0"/>
  </r>
  <r>
    <s v="COGECOM"/>
    <n v="45066086"/>
    <s v="SABRINA SILVA DE ALMEIDA"/>
    <s v="OUT"/>
    <s v="OUTROS"/>
    <n v="3254416937"/>
    <x v="0"/>
    <s v="191.65"/>
    <s v="91.75"/>
    <n v="226"/>
    <s v="NÃO LOCALIZADO"/>
    <s v="TELEFONES SEM ATENDIMENTO"/>
    <n v="0"/>
    <x v="6"/>
    <s v="10.39"/>
    <s v="gleise"/>
    <s v="181 a 360"/>
    <s v="ACIONAMENTO"/>
    <x v="0"/>
  </r>
  <r>
    <s v="COGECOM"/>
    <n v="3011878288"/>
    <s v="SANDRA APARECIDA DE OLIVEIRA"/>
    <s v="OUT"/>
    <s v="OUTROS"/>
    <n v="57454957668"/>
    <x v="0"/>
    <s v="413.36"/>
    <s v="256.70"/>
    <n v="443"/>
    <s v="NÃO LOCALIZADO"/>
    <s v="TELEFONES SEM ATENDIMENTO"/>
    <n v="0"/>
    <x v="6"/>
    <s v="11.09"/>
    <s v="gleise"/>
    <s v="Acima de 361"/>
    <s v="ACIONAMENTO"/>
    <x v="0"/>
  </r>
  <r>
    <s v="COGECOM"/>
    <n v="3095592220"/>
    <s v="SANDRO ARTUR TEIXEIRA OSTROWSKI"/>
    <s v="OUT"/>
    <s v="OUTROS"/>
    <n v="64481557087"/>
    <x v="0"/>
    <s v="1473.65"/>
    <s v="673.20"/>
    <n v="188"/>
    <s v="NÃO LOCALIZADO"/>
    <s v="TELEFONES SEM ATENDIMENTO"/>
    <n v="0"/>
    <x v="6"/>
    <s v="14.20"/>
    <s v="gleise"/>
    <s v="181 a 360"/>
    <s v="ACIONAMENTO"/>
    <x v="0"/>
  </r>
  <r>
    <s v="COGECOM"/>
    <n v="52379159"/>
    <s v="SERGIO LUIZ MACCARI"/>
    <s v="OUT"/>
    <s v="OUTROS"/>
    <n v="47655356904"/>
    <x v="0"/>
    <s v="837.24"/>
    <s v="332.18"/>
    <n v="430"/>
    <s v="SEM INTERESSE"/>
    <s v="NEGOCIAÇÃO VIA TELEFONE"/>
    <n v="0"/>
    <x v="6"/>
    <s v="15.37"/>
    <s v="gleise"/>
    <s v="Acima de 361"/>
    <s v="CPC"/>
    <x v="1"/>
  </r>
  <r>
    <s v="COGECOM"/>
    <n v="94576009"/>
    <s v="SILVIA SALETE DA ROCHA"/>
    <s v="OUT"/>
    <s v="OUTROS"/>
    <n v="2582306908"/>
    <x v="0"/>
    <s v="669.94"/>
    <s v="669.94"/>
    <n v="1044"/>
    <s v="NÃO LOCALIZADO"/>
    <s v="TELEFONES SEM ATENDIMENTO"/>
    <n v="0"/>
    <x v="6"/>
    <s v="10.59"/>
    <s v="gleise"/>
    <s v="Acima de 361"/>
    <s v="ACIONAMENTO"/>
    <x v="0"/>
  </r>
  <r>
    <s v="COGECOM"/>
    <n v="3085709972"/>
    <s v="TAMIRES SILVA MOREIRA"/>
    <s v="OUT"/>
    <s v="OUTROS"/>
    <n v="2339086094"/>
    <x v="0"/>
    <s v="979.04"/>
    <s v="548.60"/>
    <n v="235"/>
    <s v="NÃO LOCALIZADO"/>
    <s v="TELEFONES SEM ATENDIMENTO"/>
    <n v="0"/>
    <x v="6"/>
    <s v="11.54"/>
    <s v="gleise"/>
    <s v="181 a 360"/>
    <s v="ACIONAMENTO"/>
    <x v="0"/>
  </r>
  <r>
    <s v="COGECOM"/>
    <n v="10009282430"/>
    <s v="VALDOMIRO ALVES BARROS"/>
    <s v="OUT"/>
    <s v="OUTROS"/>
    <n v="62594842168"/>
    <x v="0"/>
    <s v="199.71"/>
    <s v="39.12"/>
    <n v="279"/>
    <s v="SEM INTERESSE"/>
    <s v="NEGOCIAÇÃO VIA TELEFONE"/>
    <n v="0"/>
    <x v="6"/>
    <s v="13.10"/>
    <s v="gleise"/>
    <s v="181 a 360"/>
    <s v="CPC"/>
    <x v="1"/>
  </r>
  <r>
    <s v="COGECOM"/>
    <n v="47599804"/>
    <s v="VANDERLEI ROSA DOS SANTOS"/>
    <s v="OUT"/>
    <s v="OUTROS"/>
    <n v="5760409913"/>
    <x v="0"/>
    <s v="2418.20"/>
    <s v="1535.98"/>
    <n v="1095"/>
    <s v="NÃO LOCALIZADO"/>
    <s v="TELEFONES SEM ATENDIMENTO"/>
    <n v="0"/>
    <x v="6"/>
    <s v="10.52"/>
    <s v="gleise"/>
    <s v="Acima de 361"/>
    <s v="ACIONAMENTO"/>
    <x v="0"/>
  </r>
  <r>
    <s v="COGECOM"/>
    <n v="2041901"/>
    <s v="WAGNER VESTENA LEAL"/>
    <s v="OUT"/>
    <s v="OUTROS"/>
    <n v="477037097"/>
    <x v="0"/>
    <s v="170.80"/>
    <s v="65.14"/>
    <n v="543"/>
    <s v="NÃO LOCALIZADO"/>
    <s v="TELEFONES SEM ATENDIMENTO"/>
    <n v="0"/>
    <x v="6"/>
    <s v="9.42"/>
    <s v="gleise"/>
    <s v="Acima de 361"/>
    <s v="ACIONAMENTO"/>
    <x v="0"/>
  </r>
  <r>
    <s v="COGECOM"/>
    <n v="21271526"/>
    <s v="WESLEY RUAN POLLI"/>
    <s v="OUT"/>
    <s v="OUTROS"/>
    <n v="7518068974"/>
    <x v="0"/>
    <s v="1529.26"/>
    <s v="807.02"/>
    <n v="427"/>
    <s v="NÃO LOCALIZADO"/>
    <s v="TELEFONES SEM ATENDIMENTO"/>
    <n v="0"/>
    <x v="6"/>
    <s v="14.24"/>
    <s v="gleise"/>
    <s v="Acima de 361"/>
    <s v="ACIONAMENTO"/>
    <x v="0"/>
  </r>
  <r>
    <s v="COGECOM"/>
    <n v="3004275114"/>
    <s v="WESLEY TELES ROCHA"/>
    <s v="OUT"/>
    <s v="OUTROS"/>
    <n v="94781338615"/>
    <x v="0"/>
    <s v="891.72"/>
    <s v="115.40"/>
    <n v="315"/>
    <s v="SEM INTERESSE"/>
    <s v="NEGOCIAÇÃO VIA TELEFONE"/>
    <n v="0"/>
    <x v="6"/>
    <s v="15.40"/>
    <s v="anakeppe"/>
    <s v="181 a 360"/>
    <s v="CPC"/>
    <x v="1"/>
  </r>
  <r>
    <s v="COGECOM"/>
    <n v="14981660"/>
    <s v="WILSON VIEIRA DA SILVA"/>
    <s v="OUT"/>
    <s v="OUTROS"/>
    <n v="35019956104"/>
    <x v="0"/>
    <s v="882.21"/>
    <s v="46.15"/>
    <n v="198"/>
    <s v="NÃO LOCALIZADO"/>
    <s v="TELEFONES SEM ATENDIMENTO"/>
    <n v="0"/>
    <x v="6"/>
    <s v="15.25"/>
    <s v="gleise"/>
    <s v="181 a 360"/>
    <s v="ACIONAMENTO"/>
    <x v="0"/>
  </r>
  <r>
    <s v="COGECOM"/>
    <n v="44360053"/>
    <s v="BRUNNO RAFAEL PERINE"/>
    <s v="OUT"/>
    <s v="OUTROS"/>
    <n v="7285905909"/>
    <x v="0"/>
    <s v="9199.41"/>
    <s v="1612.83"/>
    <n v="237"/>
    <s v="AG RESPOSTA 1º CONTATO"/>
    <s v="ENVIADO MSG/E-MAIL 1º CONTATO"/>
    <n v="0"/>
    <x v="6"/>
    <s v="11.44"/>
    <s v="l.quadros"/>
    <s v="181 a 360"/>
    <s v="ACIONAMENTO"/>
    <x v="4"/>
  </r>
  <r>
    <s v="COGECOM"/>
    <n v="3093190984"/>
    <s v="MIRACI TERESINHA RONCHETTI"/>
    <s v="OUT"/>
    <s v="OUTROS"/>
    <n v="28952758072"/>
    <x v="0"/>
    <s v="538.86"/>
    <s v="897.71"/>
    <n v="378"/>
    <s v="SEM INTERESSE"/>
    <s v="NEGOCIAÇÃO VIA WHATSAPP"/>
    <n v="0"/>
    <x v="6"/>
    <s v="17.37"/>
    <s v="l.quadros"/>
    <s v="Acima de 361"/>
    <s v="CPC"/>
    <x v="1"/>
  </r>
  <r>
    <s v="COGECOM"/>
    <n v="3081826455"/>
    <s v="GABRIELA ZAMPERETTI PRIEB"/>
    <s v="OUT"/>
    <s v="OUTROS"/>
    <n v="91035880091"/>
    <x v="0"/>
    <s v="847.84"/>
    <s v="847.84"/>
    <n v="272"/>
    <s v="NÃO LOCALIZADO"/>
    <s v="TELEFONES SEM ATENDIMENTO"/>
    <n v="0"/>
    <x v="6"/>
    <s v="14.23"/>
    <s v="gleise"/>
    <s v="181 a 360"/>
    <s v="ACIONAMENTO"/>
    <x v="0"/>
  </r>
  <r>
    <s v="COGECOM"/>
    <n v="3001906224"/>
    <s v="WEDELSON APARECIDO DA SILVA"/>
    <s v="OUT"/>
    <s v="OUTROS"/>
    <n v="4247377604"/>
    <x v="0"/>
    <s v="914.72"/>
    <s v="238.59"/>
    <n v="174"/>
    <s v="NÃO LOCALIZADO"/>
    <s v="TELEFONES SEM ATENDIMENTO"/>
    <n v="0"/>
    <x v="6"/>
    <s v="15.27"/>
    <s v="gleise"/>
    <s v="91 a 180"/>
    <s v="ACIONAMENTO"/>
    <x v="0"/>
  </r>
  <r>
    <s v="COGECOM"/>
    <n v="10031516406"/>
    <s v="GUNNER WINGRE SANTOS GARCIA COELHO"/>
    <s v="OUT"/>
    <s v="OUTROS"/>
    <n v="4081947155"/>
    <x v="0"/>
    <s v="6267.10"/>
    <s v="169.21"/>
    <n v="247"/>
    <s v="SEM INTERESSE"/>
    <s v="NEGOCIAÇÃO VIA TELEFONE"/>
    <n v="0"/>
    <x v="6"/>
    <s v="15.48"/>
    <s v="anakeppe"/>
    <s v="181 a 360"/>
    <s v="CPC"/>
    <x v="1"/>
  </r>
  <r>
    <s v="COGECOM"/>
    <n v="200040650"/>
    <s v="REGINALDO MOREIRA DE ARAUJO"/>
    <s v="OUT"/>
    <s v="OUTROS"/>
    <n v="84518081153"/>
    <x v="0"/>
    <s v="653.02"/>
    <s v="159.97"/>
    <n v="166"/>
    <s v="NÃO LOCALIZADO"/>
    <s v="TELEFONES SEM ATENDIMENTO"/>
    <n v="0"/>
    <x v="6"/>
    <s v="13.07"/>
    <s v="gleise"/>
    <s v="91 a 180"/>
    <s v="ACIONAMENTO"/>
    <x v="0"/>
  </r>
  <r>
    <s v="COGECOM"/>
    <n v="74622528"/>
    <s v="ISABEL JANUARIO DA SILVA"/>
    <s v="OUT"/>
    <s v="OUTROS"/>
    <n v="84387505915"/>
    <x v="0"/>
    <s v="731.92"/>
    <s v="182.56"/>
    <n v="157"/>
    <s v="NÃO LOCALIZADO"/>
    <s v="TELEFONES SEM ATENDIMENTO"/>
    <n v="0"/>
    <x v="6"/>
    <s v="15.51"/>
    <s v="gleise"/>
    <s v="91 a 180"/>
    <s v="ACIONAMENTO"/>
    <x v="0"/>
  </r>
  <r>
    <s v="COGECOM"/>
    <n v="87409461"/>
    <s v="ALAIDE MARIANO DA COSTA MAIA"/>
    <s v="OUT"/>
    <s v="OUTROS"/>
    <n v="4802840918"/>
    <x v="0"/>
    <s v="1089.50"/>
    <s v="378.15"/>
    <n v="157"/>
    <s v="NÃO LOCALIZADO"/>
    <s v="TELEFONES SEM ATENDIMENTO"/>
    <n v="0"/>
    <x v="6"/>
    <s v="15.22"/>
    <s v="gleise"/>
    <s v="91 a 180"/>
    <s v="ACIONAMENTO"/>
    <x v="0"/>
  </r>
  <r>
    <s v="COGECOM"/>
    <n v="3013681506"/>
    <s v="SIMONE APARECIDA DOS REIS"/>
    <s v="OUT"/>
    <s v="OUTROS"/>
    <n v="593458613"/>
    <x v="0"/>
    <s v="412.78"/>
    <s v="90.41"/>
    <n v="149"/>
    <s v="SEM CONDIÇÕES"/>
    <s v="NEGOCIAÇÃO VIA TELEFONE"/>
    <n v="0"/>
    <x v="6"/>
    <s v="15.53"/>
    <s v="gleise"/>
    <s v="91 a 180"/>
    <s v="CPC"/>
    <x v="3"/>
  </r>
  <r>
    <s v="COGECOM"/>
    <n v="3012220323"/>
    <s v="ALCEMAR DA COSTA E SILVA"/>
    <s v="OUT"/>
    <s v="OUTROS"/>
    <n v="4715407655"/>
    <x v="0"/>
    <s v="607.38"/>
    <s v="247.95"/>
    <n v="149"/>
    <s v="SEM INTERESSE"/>
    <s v="GERAÇÃO DE ACORDO"/>
    <n v="19"/>
    <x v="6"/>
    <s v="9.33"/>
    <s v="gleise"/>
    <s v="91 a 180"/>
    <s v="CPC"/>
    <x v="1"/>
  </r>
  <r>
    <s v="COGECOM"/>
    <n v="2810005406"/>
    <s v="MARCEL JOSE BRUNO DE CARVALHO TONINI"/>
    <s v="OUT"/>
    <s v="OUTROS"/>
    <n v="90462866653"/>
    <x v="0"/>
    <s v="2517.17"/>
    <s v="996.16"/>
    <n v="163"/>
    <s v="NÃO LOCALIZADO"/>
    <s v="TELEFONES SEM ATENDIMENTO"/>
    <n v="0"/>
    <x v="6"/>
    <s v="9.55"/>
    <s v="gleise"/>
    <s v="91 a 180"/>
    <s v="ACIONAMENTO"/>
    <x v="0"/>
  </r>
  <r>
    <s v="COGECOM"/>
    <n v="3005061576"/>
    <s v="CARLOS EDUARDO DE OLIVEIRA"/>
    <s v="OUT"/>
    <s v="OUTROS"/>
    <n v="84707810144"/>
    <x v="0"/>
    <s v="278.46"/>
    <s v="115.49"/>
    <n v="143"/>
    <s v="SEM INTERESSE"/>
    <s v="NEGOCIAÇÃO VIA TELEFONE"/>
    <n v="0"/>
    <x v="6"/>
    <s v="9.16"/>
    <s v="anakeppe"/>
    <s v="91 a 180"/>
    <s v="CPC"/>
    <x v="1"/>
  </r>
  <r>
    <s v="COGECOM"/>
    <n v="94538220"/>
    <s v="ORLANDO MAZOLA NETO"/>
    <s v="OUT"/>
    <s v="OUTROS"/>
    <n v="32388360803"/>
    <x v="0"/>
    <s v="457.26"/>
    <s v="204.67"/>
    <n v="95"/>
    <s v="NÃO LOCALIZADO"/>
    <s v="TELEFONES SEM ATENDIMENTO"/>
    <n v="0"/>
    <x v="6"/>
    <s v="9.07"/>
    <s v="gleise"/>
    <s v="91 a 180"/>
    <s v="ACIONAMENTO"/>
    <x v="0"/>
  </r>
  <r>
    <s v="COGECOM"/>
    <n v="3013970117"/>
    <s v="NATALIA CARDOSO DE PAULA"/>
    <s v="OUT"/>
    <s v="OUTROS"/>
    <n v="8024984695"/>
    <x v="0"/>
    <s v="285.88"/>
    <s v="85.49"/>
    <n v="96"/>
    <s v="NÃO LOCALIZADO"/>
    <s v="TELEFONES SEM ATENDIMENTO"/>
    <n v="0"/>
    <x v="6"/>
    <s v="14.13"/>
    <s v="gleise"/>
    <s v="91 a 180"/>
    <s v="ACIONAMENTO"/>
    <x v="0"/>
  </r>
  <r>
    <s v="COGECOM"/>
    <n v="21236402"/>
    <s v="ATILLO MOLLOSSI"/>
    <s v="OUT"/>
    <s v="OUTROS"/>
    <n v="19695497004"/>
    <x v="0"/>
    <s v="3732.27"/>
    <s v="3732.27"/>
    <n v="192"/>
    <s v="AG RESPOSTA 1º CONTATO"/>
    <s v="ENVIADO MSG/E-MAIL 1º CONTATO"/>
    <n v="0"/>
    <x v="6"/>
    <s v="11.33"/>
    <s v="l.quadros"/>
    <s v="181 a 360"/>
    <s v="ACIONAMENTO"/>
    <x v="4"/>
  </r>
  <r>
    <s v="COGECOM"/>
    <n v="96857536"/>
    <s v="JOSE CARLOS GREGZIGOUSKI"/>
    <s v="OUT"/>
    <s v="OUTROS"/>
    <n v="4504235900"/>
    <x v="0"/>
    <s v="924.47"/>
    <s v="924.47"/>
    <n v="172"/>
    <s v="SEM INTERESSE"/>
    <s v="NEGOCIAÇÃO VIA WHATSAPP"/>
    <n v="0"/>
    <x v="6"/>
    <s v="16.25"/>
    <s v="l.quadros"/>
    <s v="91 a 180"/>
    <s v="CPC"/>
    <x v="1"/>
  </r>
  <r>
    <s v="COGECOM"/>
    <n v="108852032"/>
    <s v="LEONARDO CHIFON"/>
    <s v="OUT"/>
    <s v="OUTROS"/>
    <n v="10858194937"/>
    <x v="0"/>
    <s v="6396.96"/>
    <s v="1733.12"/>
    <n v="185"/>
    <s v="NÃO LOCALIZADO"/>
    <s v="TELEFONES SEM ATENDIMENTO"/>
    <n v="0"/>
    <x v="6"/>
    <s v="9.50"/>
    <s v="gleise"/>
    <s v="181 a 360"/>
    <s v="ACIONAMENTO"/>
    <x v="0"/>
  </r>
  <r>
    <s v="COGECOM"/>
    <n v="10002460422"/>
    <s v="LINDOMAR LINS"/>
    <s v="OUT"/>
    <s v="OUTROS"/>
    <n v="34172360106"/>
    <x v="0"/>
    <s v="271.00"/>
    <s v="140.14"/>
    <n v="142"/>
    <s v="NÃO LOCALIZADO"/>
    <s v="TELEFONES SEM ATENDIMENTO"/>
    <n v="0"/>
    <x v="6"/>
    <s v="11.17"/>
    <s v="gleise"/>
    <s v="91 a 180"/>
    <s v="ACIONAMENTO"/>
    <x v="0"/>
  </r>
  <r>
    <s v="COGECOM"/>
    <n v="4112180"/>
    <s v="KOALA BAR E SOSSEGO LTDA"/>
    <s v="OUT"/>
    <s v="OUTROS"/>
    <n v="31268399000110"/>
    <x v="0"/>
    <s v="11741.52"/>
    <s v="6473.86"/>
    <n v="131"/>
    <s v="AG RESPOSTA 1º CONTATO"/>
    <s v="ENVIADO MSG/E-MAIL 1º CONTATO"/>
    <n v="0"/>
    <x v="6"/>
    <s v="10.55"/>
    <s v="l.quadros"/>
    <s v="91 a 180"/>
    <s v="ACIONAMENTO"/>
    <x v="4"/>
  </r>
  <r>
    <s v="COGECOM"/>
    <n v="64848833"/>
    <s v="RUGILO ALIMENTOS LTDA"/>
    <s v="OUT"/>
    <s v="OUTROS"/>
    <n v="3689779000192"/>
    <x v="0"/>
    <s v="2690.40"/>
    <s v="2690.40"/>
    <n v="145"/>
    <s v="NÃO LOCALIZADO"/>
    <s v="TELEFONES SEM ATENDIMENTO"/>
    <n v="0"/>
    <x v="6"/>
    <s v="11.41"/>
    <s v="gleise"/>
    <s v="91 a 180"/>
    <s v="ACIONAMENTO"/>
    <x v="0"/>
  </r>
  <r>
    <s v="COGECOM"/>
    <n v="39766586"/>
    <s v="HUMBERTO ORTEGA ORTIZ"/>
    <s v="OUT"/>
    <s v="OUTROS"/>
    <n v="48690112987"/>
    <x v="0"/>
    <s v="237.32"/>
    <s v="115.58"/>
    <n v="133"/>
    <s v="NÃO LOCALIZADO"/>
    <s v="TELEFONES SEM ATENDIMENTO"/>
    <n v="0"/>
    <x v="6"/>
    <s v="11.22"/>
    <s v="gleise"/>
    <s v="91 a 180"/>
    <s v="ACIONAMENTO"/>
    <x v="0"/>
  </r>
  <r>
    <s v="COGECOM"/>
    <n v="3092174586"/>
    <s v="MANOEL ANTONIO PINHEIRO FILHO"/>
    <s v="OUT"/>
    <s v="OUTROS"/>
    <n v="614708052"/>
    <x v="0"/>
    <s v="714.07"/>
    <s v="39.48"/>
    <n v="143"/>
    <s v="NÃO LOCALIZADO"/>
    <s v="TELEFONES SEM ATENDIMENTO"/>
    <n v="0"/>
    <x v="6"/>
    <s v="14.18"/>
    <s v="gleise"/>
    <s v="91 a 180"/>
    <s v="ACIONAMENTO"/>
    <x v="0"/>
  </r>
  <r>
    <s v="COGECOM"/>
    <n v="3085376713"/>
    <s v="NILTON JOSE PEREIRA"/>
    <s v="OUT"/>
    <s v="OUTROS"/>
    <n v="37971298072"/>
    <x v="0"/>
    <s v="1364.57"/>
    <s v="1225.00"/>
    <n v="129"/>
    <s v="NÃO LOCALIZADO"/>
    <s v="TELEFONES SEM ATENDIMENTO"/>
    <n v="0"/>
    <x v="6"/>
    <s v="10.56"/>
    <s v="gleise"/>
    <s v="91 a 180"/>
    <s v="ACIONAMENTO"/>
    <x v="0"/>
  </r>
  <r>
    <s v="COGECOM"/>
    <n v="14732114"/>
    <s v="MARIA APARECIDA DOS SANTOS"/>
    <s v="OUT"/>
    <s v="OUTROS"/>
    <n v="2908114909"/>
    <x v="0"/>
    <s v="773.57"/>
    <s v="353.24"/>
    <n v="96"/>
    <m/>
    <s v="SOLICITAR EXTINÇÃO DA AÇÃO"/>
    <n v="9999"/>
    <x v="6"/>
    <s v="16.11"/>
    <s v="gleise"/>
    <s v="91 a 180"/>
    <s v="ACIONAMENTO"/>
    <x v="4"/>
  </r>
  <r>
    <s v="COGECOM"/>
    <n v="24270912"/>
    <s v="RODOLFO ROBERTO PRADO"/>
    <s v="OUT"/>
    <s v="OUTROS"/>
    <n v="40954607848"/>
    <x v="0"/>
    <s v="1630.61"/>
    <s v="696.45"/>
    <n v="100"/>
    <s v="AG RESPOSTA 1º CONTATO"/>
    <s v="ENVIADO MSG/E-MAIL 1º CONTATO"/>
    <n v="0"/>
    <x v="6"/>
    <s v="13.47"/>
    <s v="l.quadros"/>
    <s v="91 a 180"/>
    <s v="ACIONAMENTO"/>
    <x v="4"/>
  </r>
  <r>
    <s v="COGECOM"/>
    <n v="87316935"/>
    <s v="MAURO EUGENIO SAROLLI"/>
    <s v="OUT"/>
    <s v="OUTROS"/>
    <n v="48321893953"/>
    <x v="0"/>
    <s v="1193.88"/>
    <s v="1193.88"/>
    <n v="86"/>
    <s v="SEM INTERESSE"/>
    <s v="NEGOCIAÇÃO VIA TELEFONE"/>
    <n v="0"/>
    <x v="6"/>
    <s v="16.15"/>
    <s v="gleise"/>
    <s v="61 a 90"/>
    <s v="CPC"/>
    <x v="1"/>
  </r>
  <r>
    <s v="COGECOM"/>
    <n v="3095095437"/>
    <s v="RAFAEL DOS SANTOS"/>
    <s v="OUT"/>
    <s v="OUTROS"/>
    <n v="93700733020"/>
    <x v="0"/>
    <s v="2170.08"/>
    <s v="1469.62"/>
    <n v="85"/>
    <s v="NÃO LOCALIZADO"/>
    <s v="TELEFONES SEM ATENDIMENTO"/>
    <n v="0"/>
    <x v="6"/>
    <s v="14.22"/>
    <s v="gleise"/>
    <s v="61 a 90"/>
    <s v="ACIONAMENTO"/>
    <x v="0"/>
  </r>
  <r>
    <s v="COGECOM"/>
    <n v="19301281"/>
    <s v="EDSON DA SILVA TENORIO"/>
    <s v="OUT"/>
    <s v="OUTROS"/>
    <n v="46194588802"/>
    <x v="0"/>
    <s v="317.21"/>
    <s v="164.70"/>
    <n v="66"/>
    <s v="NÃO LOCALIZADO"/>
    <s v="TELEFONES SEM ATENDIMENTO"/>
    <n v="0"/>
    <x v="6"/>
    <s v="10.31"/>
    <s v="gleise"/>
    <s v="61 a 90"/>
    <s v="ACIONAMENTO"/>
    <x v="0"/>
  </r>
  <r>
    <s v="COGECOM"/>
    <n v="28025211"/>
    <s v="JURANDIR TEIXEIRA"/>
    <s v="OUT"/>
    <s v="OUTROS"/>
    <n v="11515813991"/>
    <x v="0"/>
    <s v="283.99"/>
    <s v="188.59"/>
    <n v="69"/>
    <s v="SEM INTERESSE"/>
    <s v="NEGOCIAÇÃO VIA TELEFONE"/>
    <n v="0"/>
    <x v="6"/>
    <s v="11.14"/>
    <s v="gleise"/>
    <s v="61 a 90"/>
    <s v="CPC"/>
    <x v="1"/>
  </r>
  <r>
    <s v="COGECOM"/>
    <n v="3005002855"/>
    <s v="LUANA CRISTINA PINTO FERREIRA BARUSCO"/>
    <s v="OUT"/>
    <s v="OUTROS"/>
    <n v="44259287842"/>
    <x v="0"/>
    <s v="334.86"/>
    <s v="215.73"/>
    <n v="65"/>
    <m/>
    <s v="SOLICITAR EXTINÇÃO DA AÇÃO"/>
    <n v="9999"/>
    <x v="6"/>
    <s v="16.22"/>
    <s v="anakeppe"/>
    <s v="61 a 90"/>
    <s v="ACIONAMENTO"/>
    <x v="4"/>
  </r>
  <r>
    <s v="COGECOM"/>
    <n v="50984591"/>
    <s v="LUIZ CARLOS SCHARF JUNIOR"/>
    <s v="OUT"/>
    <s v="OUTROS"/>
    <n v="2627011979"/>
    <x v="0"/>
    <s v="136.76"/>
    <s v="136.76"/>
    <n v="71"/>
    <m/>
    <s v="SOLICITAR EXTINÇÃO DA AÇÃO"/>
    <n v="9999"/>
    <x v="6"/>
    <s v="16.22"/>
    <s v="anakeppe"/>
    <s v="61 a 90"/>
    <s v="ACIONAMENTO"/>
    <x v="4"/>
  </r>
  <r>
    <s v="COGECOM"/>
    <n v="56890700"/>
    <s v="MAIK DABIO LANZARINI"/>
    <s v="OUT"/>
    <s v="OUTROS"/>
    <n v="6958396910"/>
    <x v="0"/>
    <s v="164.88"/>
    <s v="93.74"/>
    <n v="69"/>
    <m/>
    <s v="SOLICITAR EXTINÇÃO DA AÇÃO"/>
    <n v="9999"/>
    <x v="6"/>
    <s v="16.22"/>
    <s v="anakeppe"/>
    <s v="61 a 90"/>
    <s v="ACIONAMENTO"/>
    <x v="4"/>
  </r>
  <r>
    <s v="COGECOM"/>
    <n v="3011811584"/>
    <s v="MARCIA QUARESMA MARTINS"/>
    <s v="OUT"/>
    <s v="OUTROS"/>
    <n v="6291558602"/>
    <x v="0"/>
    <s v="206.96"/>
    <s v="107.15"/>
    <n v="65"/>
    <s v="EM NEGOCIAÇÃO"/>
    <s v="NEGOCIAÇÃO VIA TELEFONE"/>
    <n v="0"/>
    <x v="6"/>
    <s v="16.25"/>
    <s v="anakeppe"/>
    <s v="61 a 90"/>
    <s v="CPC"/>
    <x v="2"/>
  </r>
  <r>
    <s v="COGECOM"/>
    <n v="3001458231"/>
    <s v="MONICA CRISTINA VERIANA DA CRUZ"/>
    <s v="OUT"/>
    <s v="OUTROS"/>
    <n v="60018402615"/>
    <x v="0"/>
    <s v="109.98"/>
    <s v="46.33"/>
    <n v="65"/>
    <s v="NÃO LOCALIZADO"/>
    <s v="TELEFONES SEM ATENDIMENTO"/>
    <n v="0"/>
    <x v="6"/>
    <s v="10.46"/>
    <s v="gleise"/>
    <s v="61 a 90"/>
    <s v="ACIONAMENTO"/>
    <x v="0"/>
  </r>
  <r>
    <s v="COGECOM"/>
    <n v="82621594"/>
    <s v="RAFAEL ASCENCIO GARCIA SAPIA"/>
    <s v="OUT"/>
    <s v="OUTROS"/>
    <n v="87775956968"/>
    <x v="0"/>
    <s v="541.13"/>
    <s v="276.82"/>
    <n v="70"/>
    <s v="AG RESPOSTA 1º CONTATO"/>
    <s v="ENVIADO MSG/E-MAIL 1º CONTATO"/>
    <n v="0"/>
    <x v="6"/>
    <s v="16.29"/>
    <s v="l.quadros"/>
    <s v="61 a 90"/>
    <s v="ACIONAMENTO"/>
    <x v="4"/>
  </r>
  <r>
    <s v="COGECOM"/>
    <n v="3014591458"/>
    <s v="THIAGO DE LIMA COSTA"/>
    <s v="OUT"/>
    <s v="OUTROS"/>
    <n v="10313173680"/>
    <x v="0"/>
    <s v="589.70"/>
    <s v="823.11"/>
    <n v="65"/>
    <s v="NÃO LOCALIZADO"/>
    <s v="TELEFONES SEM ATENDIMENTO"/>
    <n v="0"/>
    <x v="6"/>
    <s v="16.32"/>
    <s v="gleise"/>
    <s v="61 a 90"/>
    <s v="ACIONAMENTO"/>
    <x v="0"/>
  </r>
  <r>
    <s v="COGECOM"/>
    <n v="29211663"/>
    <s v="WILIAM NEVES DE OLIVEIRA"/>
    <s v="OUT"/>
    <s v="OUTROS"/>
    <n v="1258358921"/>
    <x v="0"/>
    <s v="153.30"/>
    <s v="76.65"/>
    <n v="69"/>
    <s v="NÃO LOCALIZADO"/>
    <s v="TELEFONES SEM ATENDIMENTO"/>
    <n v="0"/>
    <x v="6"/>
    <s v="16.33"/>
    <s v="gleise"/>
    <s v="61 a 90"/>
    <s v="ACIONAMENTO"/>
    <x v="0"/>
  </r>
  <r>
    <s v="COGECOM"/>
    <n v="97098647"/>
    <s v="DAVID COSTA DE ARAUJO MARTINS"/>
    <s v="OUT"/>
    <s v="OUTROS"/>
    <n v="4687346944"/>
    <x v="0"/>
    <s v="128.47"/>
    <s v="118.43"/>
    <n v="59"/>
    <s v="NÃO LOCALIZADO"/>
    <s v="TELEFONES SEM ATENDIMENTO"/>
    <n v="0"/>
    <x v="6"/>
    <s v="10.34"/>
    <s v="gleise"/>
    <s v="31 a 60"/>
    <s v="ACIONAMENTO"/>
    <x v="0"/>
  </r>
  <r>
    <s v="COGECOM"/>
    <n v="13530127"/>
    <s v="CLARICE TIMOTHEO DOS SANTOS"/>
    <s v="OUT"/>
    <s v="OUTROS"/>
    <n v="38834127838"/>
    <x v="0"/>
    <s v="60.69"/>
    <s v="60.69"/>
    <n v="46"/>
    <s v="NÃO LOCALIZADO"/>
    <s v="TELEFONES SEM ATENDIMENTO"/>
    <n v="0"/>
    <x v="6"/>
    <s v="10.44"/>
    <s v="gleise"/>
    <s v="31 a 60"/>
    <s v="ACIONAMENTO"/>
    <x v="0"/>
  </r>
  <r>
    <s v="COGECOM"/>
    <n v="3010448920"/>
    <s v="FABIO SIMOES FLORENCIO"/>
    <s v="OUT"/>
    <s v="OUTROS"/>
    <n v="5058731681"/>
    <x v="0"/>
    <s v="114.42"/>
    <s v="114.42"/>
    <n v="43"/>
    <s v="SEM INTERESSE"/>
    <s v="NEGOCIAÇÃO VIA TELEFONE"/>
    <n v="0"/>
    <x v="6"/>
    <s v="16.43"/>
    <s v="gleise"/>
    <s v="31 a 60"/>
    <s v="CPC"/>
    <x v="1"/>
  </r>
  <r>
    <s v="COGECOM"/>
    <n v="75774755"/>
    <s v="JULIO CESAR GOMES SANTOS"/>
    <s v="OUT"/>
    <s v="OUTROS"/>
    <n v="4037554925"/>
    <x v="0"/>
    <s v="224.64"/>
    <s v="224.64"/>
    <n v="47"/>
    <s v="NÃO LOCALIZADO"/>
    <s v="TELEFONES SEM ATENDIMENTO"/>
    <n v="0"/>
    <x v="6"/>
    <s v="11.12"/>
    <s v="gleise"/>
    <s v="31 a 60"/>
    <s v="ACIONAMENTO"/>
    <x v="0"/>
  </r>
  <r>
    <s v="COGECOM"/>
    <n v="950004777"/>
    <s v="NILVA APARECIDA DA COSTA FERNANDES"/>
    <s v="OUT"/>
    <s v="OUTROS"/>
    <n v="84811510178"/>
    <x v="0"/>
    <s v="116.98"/>
    <s v="116.98"/>
    <n v="43"/>
    <s v="NÃO LOCALIZADO"/>
    <s v="TELEFONES SEM ATENDIMENTO"/>
    <n v="0"/>
    <x v="6"/>
    <s v="14.05"/>
    <s v="gleise"/>
    <s v="31 a 60"/>
    <s v="ACIONAMENTO"/>
    <x v="0"/>
  </r>
  <r>
    <s v="COGECOM"/>
    <n v="31238625"/>
    <s v="KATIA DE ALMEIDA COELHO"/>
    <s v="OUT"/>
    <s v="OUTROS"/>
    <n v="6560221911"/>
    <x v="0"/>
    <s v="646.28"/>
    <s v="646.28"/>
    <n v="197"/>
    <s v="NÃO LOCALIZADO"/>
    <s v="TELEFONES SEM ATENDIMENTO"/>
    <n v="0"/>
    <x v="6"/>
    <s v="11.02"/>
    <s v="gleise"/>
    <s v="181 a 360"/>
    <s v="ACIONAMENTO"/>
    <x v="0"/>
  </r>
  <r>
    <s v="COGECOM"/>
    <n v="52691320"/>
    <s v="DIDADO BAR LTDA"/>
    <s v="OUT"/>
    <s v="OUTROS"/>
    <n v="28259516000174"/>
    <x v="0"/>
    <s v="3137.12"/>
    <s v="3137.12"/>
    <n v="197"/>
    <s v="NÃO LOCALIZADO"/>
    <s v="TELEFONES SEM ATENDIMENTO"/>
    <n v="0"/>
    <x v="6"/>
    <s v="9.48"/>
    <s v="gleise"/>
    <s v="181 a 360"/>
    <s v="ACIONAMENTO"/>
    <x v="0"/>
  </r>
  <r>
    <s v="COGECOM"/>
    <n v="3005677899"/>
    <s v="MARIA GERALDA FERREIRA DOS SANTOS"/>
    <s v="OUT"/>
    <s v="OUTROS"/>
    <n v="1734985666"/>
    <x v="0"/>
    <s v="94.84"/>
    <s v="94.84"/>
    <n v="37"/>
    <m/>
    <s v="SOLICITAR EXTINÇÃO DA AÇÃO"/>
    <n v="9999"/>
    <x v="6"/>
    <s v="16.55"/>
    <s v="anakeppe"/>
    <s v="31 a 60"/>
    <s v="ACIONAMENTO"/>
    <x v="4"/>
  </r>
  <r>
    <s v="COGECOM"/>
    <n v="28649460"/>
    <s v="MARCOS DANIEL PIRES"/>
    <s v="OUT"/>
    <s v="OUTROS"/>
    <n v="9573951835"/>
    <x v="0"/>
    <s v="0.00"/>
    <s v="74.59"/>
    <n v="33"/>
    <s v="SEM INTERESSE"/>
    <s v="NEGOCIAÇÃO VIA TELEFONE"/>
    <n v="0"/>
    <x v="6"/>
    <s v="16.58"/>
    <s v="gleise"/>
    <s v="31 a 60"/>
    <s v="CPC"/>
    <x v="1"/>
  </r>
  <r>
    <s v="COGECOM"/>
    <n v="28337174"/>
    <s v="AMANDA VENTRICE DIAS"/>
    <s v="OUT"/>
    <s v="OUTROS"/>
    <n v="22257558847"/>
    <x v="0"/>
    <s v="111.25"/>
    <s v="111.25"/>
    <n v="32"/>
    <m/>
    <s v="SOLICITAR EXTINÇÃO DA AÇÃO"/>
    <n v="9999"/>
    <x v="6"/>
    <s v="16.58"/>
    <s v="anakeppe"/>
    <s v="31 a 60"/>
    <s v="ACIONAMENTO"/>
    <x v="4"/>
  </r>
  <r>
    <s v="COGECOM"/>
    <n v="10019724843"/>
    <s v="ALESSANDRO SILVA COSTA"/>
    <s v="OUT"/>
    <s v="OUTROS"/>
    <n v="666048185"/>
    <x v="0"/>
    <s v="358.24"/>
    <s v="26.63"/>
    <n v="213"/>
    <s v="NÃO LOCALIZADO"/>
    <s v="TELEFONES SEM ATENDIMENTO"/>
    <n v="1"/>
    <x v="7"/>
    <s v="13.23"/>
    <s v="gleise"/>
    <s v="181 a 360"/>
    <s v="ACIONAMENTO"/>
    <x v="0"/>
  </r>
  <r>
    <s v="COGECOM"/>
    <n v="26684137"/>
    <s v="ALEXANDER RIGONI"/>
    <s v="OUT"/>
    <s v="OUTROS"/>
    <n v="72801107972"/>
    <x v="0"/>
    <s v="4927.85"/>
    <s v="2026.58"/>
    <n v="1304"/>
    <s v="NÃO LOCALIZADO"/>
    <s v="TELEFONES SEM ATENDIMENTO"/>
    <n v="1"/>
    <x v="7"/>
    <s v="10.58"/>
    <s v="gleise"/>
    <s v="Acima de 361"/>
    <s v="ACIONAMENTO"/>
    <x v="0"/>
  </r>
  <r>
    <s v="COGECOM"/>
    <n v="3090955282"/>
    <s v="ALEXSANDRO ARAÚJO DE ALMEIDA"/>
    <s v="OUT"/>
    <s v="OUTROS"/>
    <n v="97794244072"/>
    <x v="0"/>
    <s v="2490.67"/>
    <s v="1332.20"/>
    <n v="559"/>
    <s v="NÃO LOCALIZADO"/>
    <s v="TELEFONES SEM ATENDIMENTO"/>
    <n v="1"/>
    <x v="7"/>
    <s v="11.00"/>
    <s v="gleise"/>
    <s v="Acima de 361"/>
    <s v="ACIONAMENTO"/>
    <x v="0"/>
  </r>
  <r>
    <s v="COGECOM"/>
    <n v="106477528"/>
    <s v="ALICE MARIA RUDOLFO"/>
    <s v="OUT"/>
    <s v="OUTROS"/>
    <n v="9792126937"/>
    <x v="0"/>
    <s v="372.25"/>
    <s v="137.83"/>
    <n v="410"/>
    <s v="NÃO LOCALIZADO"/>
    <s v="TELEFONES SEM ATENDIMENTO"/>
    <n v="1"/>
    <x v="7"/>
    <s v="9.32"/>
    <s v="gleise"/>
    <s v="Acima de 361"/>
    <s v="ACIONAMENTO"/>
    <x v="0"/>
  </r>
  <r>
    <s v="COGECOM"/>
    <n v="7798784"/>
    <s v="BRAULIO SZPOGANICZ"/>
    <s v="OUT"/>
    <s v="OUTROS"/>
    <n v="383004942"/>
    <x v="0"/>
    <s v="297.11"/>
    <s v="111.02"/>
    <n v="443"/>
    <s v="NÃO LOCALIZADO"/>
    <s v="TELEFONES SEM ATENDIMENTO"/>
    <n v="1"/>
    <x v="7"/>
    <s v="14.47"/>
    <s v="gleise"/>
    <s v="Acima de 361"/>
    <s v="ACIONAMENTO"/>
    <x v="0"/>
  </r>
  <r>
    <s v="COGECOM"/>
    <n v="10007314351"/>
    <s v="CASSIA CRISTINA FALEIRO"/>
    <s v="OUT"/>
    <s v="OUTROS"/>
    <n v="42739900163"/>
    <x v="0"/>
    <s v="476.53"/>
    <s v="28.84"/>
    <n v="186"/>
    <s v="NÃO LOCALIZADO"/>
    <s v="TELEFONES SEM ATENDIMENTO"/>
    <n v="1"/>
    <x v="7"/>
    <s v="14.52"/>
    <s v="gleise"/>
    <s v="181 a 360"/>
    <s v="ACIONAMENTO"/>
    <x v="0"/>
  </r>
  <r>
    <s v="COGECOM"/>
    <n v="3085732175"/>
    <s v="DANILO LIMA PERES"/>
    <s v="OUT"/>
    <s v="OUTROS"/>
    <n v="96937645368"/>
    <x v="0"/>
    <s v="229.59"/>
    <s v="176.92"/>
    <n v="392"/>
    <s v="NÃO LOCALIZADO"/>
    <s v="TELEFONES SEM ATENDIMENTO"/>
    <n v="1"/>
    <x v="7"/>
    <s v="17.03"/>
    <s v="gleise"/>
    <s v="Acima de 361"/>
    <s v="ACIONAMENTO"/>
    <x v="0"/>
  </r>
  <r>
    <s v="COGECOM"/>
    <n v="3082786003"/>
    <s v="DEISE SILVEIRA KUSTER"/>
    <s v="OUT"/>
    <s v="OUTROS"/>
    <n v="1189988038"/>
    <x v="0"/>
    <s v="154.11"/>
    <s v="90.04"/>
    <n v="582"/>
    <s v="NÃO LOCALIZADO"/>
    <s v="TELEFONES SEM ATENDIMENTO"/>
    <n v="1"/>
    <x v="7"/>
    <s v="13.25"/>
    <s v="gleise"/>
    <s v="Acima de 361"/>
    <s v="ACIONAMENTO"/>
    <x v="0"/>
  </r>
  <r>
    <s v="COGECOM"/>
    <n v="3082834809"/>
    <s v="DORILDE TEREZA GNOATTO DA SILVA"/>
    <s v="OUT"/>
    <s v="OUTROS"/>
    <n v="70806276053"/>
    <x v="0"/>
    <s v="556.93"/>
    <s v="296.04"/>
    <n v="559"/>
    <s v="SEM INTERESSE"/>
    <s v="NEGOCIAÇÃO VIA TELEFONE"/>
    <n v="1"/>
    <x v="7"/>
    <s v="11.21"/>
    <s v="gleise"/>
    <s v="Acima de 361"/>
    <s v="CPC"/>
    <x v="1"/>
  </r>
  <r>
    <s v="COGECOM"/>
    <n v="41048328"/>
    <s v="ELIETE CRISTINA BONILHA"/>
    <s v="OUT"/>
    <s v="OUTROS"/>
    <n v="3143266937"/>
    <x v="0"/>
    <s v="330.96"/>
    <s v="119.63"/>
    <n v="229"/>
    <s v="NÃO LOCALIZADO"/>
    <s v="TELEFONES SEM ATENDIMENTO"/>
    <n v="1"/>
    <x v="7"/>
    <s v="11.33"/>
    <s v="gleise"/>
    <s v="181 a 360"/>
    <s v="ACIONAMENTO"/>
    <x v="0"/>
  </r>
  <r>
    <s v="COGECOM"/>
    <n v="3095632983"/>
    <s v="ESTEVAN DO NASCIMENTO"/>
    <s v="OUT"/>
    <s v="OUTROS"/>
    <n v="983602050"/>
    <x v="0"/>
    <s v="358.15"/>
    <s v="112.55"/>
    <n v="637"/>
    <s v="NÃO LOCALIZADO"/>
    <s v="TELEFONES SEM ATENDIMENTO"/>
    <n v="1"/>
    <x v="7"/>
    <s v="10.45"/>
    <s v="gleise"/>
    <s v="Acima de 361"/>
    <s v="ACIONAMENTO"/>
    <x v="0"/>
  </r>
  <r>
    <s v="COGECOM"/>
    <n v="110776364"/>
    <s v="FABIO RUZYCKI"/>
    <s v="OUT"/>
    <s v="OUTROS"/>
    <n v="99353881900"/>
    <x v="0"/>
    <s v="599.28"/>
    <s v="256.48"/>
    <n v="472"/>
    <s v="NÃO LOCALIZADO"/>
    <s v="TELEFONES SEM ATENDIMENTO"/>
    <n v="1"/>
    <x v="7"/>
    <s v="13.15"/>
    <s v="gleise"/>
    <s v="Acima de 361"/>
    <s v="ACIONAMENTO"/>
    <x v="0"/>
  </r>
  <r>
    <s v="COGECOM"/>
    <n v="3085492246"/>
    <s v="GABRIEL PAIXAO SELAU"/>
    <s v="OUT"/>
    <s v="OUTROS"/>
    <n v="2583067001"/>
    <x v="0"/>
    <s v="165.68"/>
    <s v="165.68"/>
    <n v="267"/>
    <s v="NÃO LOCALIZADO"/>
    <s v="TELEFONES SEM ATENDIMENTO"/>
    <n v="1"/>
    <x v="7"/>
    <s v="17.06"/>
    <s v="gleise"/>
    <s v="181 a 360"/>
    <s v="ACIONAMENTO"/>
    <x v="0"/>
  </r>
  <r>
    <s v="COGECOM"/>
    <n v="103760873"/>
    <s v="GIOVANI SIKORSKI"/>
    <s v="OUT"/>
    <s v="OUTROS"/>
    <n v="431611033"/>
    <x v="0"/>
    <s v="1164.00"/>
    <s v="512.72"/>
    <n v="618"/>
    <s v="SEM CONDIÇÕES"/>
    <s v="NEGOCIAÇÃO VIA TELEFONE"/>
    <n v="1"/>
    <x v="7"/>
    <s v="11.15"/>
    <s v="gleise"/>
    <s v="Acima de 361"/>
    <s v="CPC"/>
    <x v="3"/>
  </r>
  <r>
    <s v="COGECOM"/>
    <n v="3010295043"/>
    <s v="GLENIO SYMON LIMA SILVA"/>
    <s v="OUT"/>
    <s v="OUTROS"/>
    <n v="4090953626"/>
    <x v="0"/>
    <s v="194.55"/>
    <s v="273.66"/>
    <n v="189"/>
    <s v="SEM INTERESSE"/>
    <s v="ESTORNO"/>
    <n v="1"/>
    <x v="7"/>
    <s v="13.54"/>
    <s v="luciano"/>
    <s v="181 a 360"/>
    <s v="ACIONAMENTO"/>
    <x v="1"/>
  </r>
  <r>
    <s v="COGECOM"/>
    <n v="3001844466"/>
    <s v="HILTON RODRIGUES ATAIDE"/>
    <s v="OUT"/>
    <s v="OUTROS"/>
    <n v="5729368690"/>
    <x v="0"/>
    <s v="932.16"/>
    <s v="140.21"/>
    <n v="353"/>
    <s v="NÃO LOCALIZADO"/>
    <s v="TELEFONES SEM ATENDIMENTO"/>
    <n v="1"/>
    <x v="7"/>
    <s v="17.08"/>
    <s v="gleise"/>
    <s v="181 a 360"/>
    <s v="ACIONAMENTO"/>
    <x v="0"/>
  </r>
  <r>
    <s v="COGECOM"/>
    <n v="5616557"/>
    <s v="IVONE SOUZA SCHWINDEN"/>
    <s v="OUT"/>
    <s v="OUTROS"/>
    <n v="971473544"/>
    <x v="0"/>
    <s v="245.64"/>
    <s v="131.41"/>
    <n v="649"/>
    <s v="NÃO LOCALIZADO"/>
    <s v="TELEFONES SEM ATENDIMENTO"/>
    <n v="1"/>
    <x v="7"/>
    <s v="13.21"/>
    <s v="gleise"/>
    <s v="Acima de 361"/>
    <s v="ACIONAMENTO"/>
    <x v="0"/>
  </r>
  <r>
    <s v="COGECOM"/>
    <n v="4830141245"/>
    <s v="JOAO CARLOS NASCIMENTO SILVA"/>
    <s v="OUT"/>
    <s v="OUTROS"/>
    <n v="83140816120"/>
    <x v="0"/>
    <s v="354.38"/>
    <s v="26.63"/>
    <n v="209"/>
    <s v="NÃO LOCALIZADO"/>
    <s v="TELEFONES SEM ATENDIMENTO"/>
    <n v="1"/>
    <x v="7"/>
    <s v="11.41"/>
    <s v="gleise"/>
    <s v="181 a 360"/>
    <s v="ACIONAMENTO"/>
    <x v="0"/>
  </r>
  <r>
    <s v="COGECOM"/>
    <n v="41267542"/>
    <s v="JOSÉ CLECIO RAUPP"/>
    <s v="OUT"/>
    <s v="OUTROS"/>
    <n v="36634140006"/>
    <x v="0"/>
    <s v="449.54"/>
    <s v="255.67"/>
    <n v="660"/>
    <s v="NÃO LOCALIZADO"/>
    <s v="TELEFONES SEM ATENDIMENTO"/>
    <n v="1"/>
    <x v="7"/>
    <s v="15.13"/>
    <s v="gleise"/>
    <s v="Acima de 361"/>
    <s v="ACIONAMENTO"/>
    <x v="0"/>
  </r>
  <r>
    <s v="COGECOM"/>
    <n v="8678391"/>
    <s v="JURACY RIBEIRO DE FREITAS"/>
    <s v="OUT"/>
    <s v="OUTROS"/>
    <n v="93637594900"/>
    <x v="0"/>
    <s v="71.22"/>
    <s v="46.43"/>
    <n v="373"/>
    <s v="SEM INTERESSE"/>
    <s v="NEGOCIAÇÃO VIA TELEFONE"/>
    <n v="1"/>
    <x v="7"/>
    <s v="15.17"/>
    <s v="gleise"/>
    <s v="Acima de 361"/>
    <s v="CPC"/>
    <x v="1"/>
  </r>
  <r>
    <s v="COGECOM"/>
    <n v="3010820818"/>
    <s v="LAURA FERNANDES SILVA FERREIRA"/>
    <s v="OUT"/>
    <s v="OUTROS"/>
    <n v="2006690604"/>
    <x v="0"/>
    <s v="341.29"/>
    <s v="182.53"/>
    <n v="559"/>
    <s v="SEM INTERESSE"/>
    <s v="NEGOCIAÇÃO VIA TELEFONE"/>
    <n v="1"/>
    <x v="7"/>
    <s v="15.19"/>
    <s v="gleise"/>
    <s v="Acima de 361"/>
    <s v="CPC"/>
    <x v="1"/>
  </r>
  <r>
    <s v="COGECOM"/>
    <n v="4001846817"/>
    <s v="LUCIANE PINTO ORTELLI"/>
    <s v="OUT"/>
    <s v="OUTROS"/>
    <n v="1598212079"/>
    <x v="1"/>
    <s v="0.00"/>
    <s v="215.48"/>
    <n v="187"/>
    <s v="SEM INTERESSE"/>
    <s v="NEGOCIAÇÃO VIA TELEFONE"/>
    <n v="1"/>
    <x v="7"/>
    <s v="15.21"/>
    <s v="gleise"/>
    <s v="181 a 360"/>
    <s v="CPC"/>
    <x v="1"/>
  </r>
  <r>
    <s v="COGECOM"/>
    <n v="59449020"/>
    <s v="MARCOS PAULO KRASOTA"/>
    <s v="OUT"/>
    <s v="OUTROS"/>
    <n v="7146069958"/>
    <x v="0"/>
    <s v="3546.98"/>
    <s v="2229.43"/>
    <n v="673"/>
    <s v="NÃO LOCALIZADO"/>
    <s v="TELEFONES SEM ATENDIMENTO"/>
    <n v="1"/>
    <x v="7"/>
    <s v="10.22"/>
    <s v="gleise"/>
    <s v="Acima de 361"/>
    <s v="ACIONAMENTO"/>
    <x v="0"/>
  </r>
  <r>
    <s v="COGECOM"/>
    <n v="10014958250"/>
    <s v="MARIA PIRES DE CASTRO"/>
    <s v="OUT"/>
    <s v="OUTROS"/>
    <n v="21998876187"/>
    <x v="0"/>
    <s v="520.00"/>
    <s v="73.29"/>
    <n v="202"/>
    <s v="SEM INTERESSE"/>
    <s v="NEGOCIAÇÃO VIA TELEFONE"/>
    <n v="1"/>
    <x v="7"/>
    <s v="15.28"/>
    <s v="gleise"/>
    <s v="181 a 360"/>
    <s v="CPC"/>
    <x v="1"/>
  </r>
  <r>
    <s v="COGECOM"/>
    <n v="3091956454"/>
    <s v="MARTA MARIA PAZ DA SILVA"/>
    <s v="OUT"/>
    <s v="OUTROS"/>
    <n v="39094030004"/>
    <x v="0"/>
    <s v="703.50"/>
    <s v="231.43"/>
    <n v="385"/>
    <s v="AG RESPOSTA 1º CONTATO"/>
    <s v="ENVIADO MSG/E-MAIL 1º CONTATO"/>
    <n v="1"/>
    <x v="7"/>
    <s v="11.19"/>
    <s v="l.quadros"/>
    <s v="Acima de 361"/>
    <s v="ACIONAMENTO"/>
    <x v="4"/>
  </r>
  <r>
    <s v="COGECOM"/>
    <n v="106982958"/>
    <s v="MAURO CHAGAS BOAVENTURA"/>
    <s v="OUT"/>
    <s v="OUTROS"/>
    <n v="6932945908"/>
    <x v="0"/>
    <s v="297.27"/>
    <s v="71.12"/>
    <n v="287"/>
    <s v="NÃO LOCALIZADO"/>
    <s v="TELEFONES SEM ATENDIMENTO"/>
    <n v="1"/>
    <x v="7"/>
    <s v="15.30"/>
    <s v="gleise"/>
    <s v="181 a 360"/>
    <s v="ACIONAMENTO"/>
    <x v="0"/>
  </r>
  <r>
    <s v="COGECOM"/>
    <n v="79332722"/>
    <s v="MAYARA MENEZES BARBOZA MONTEIRO"/>
    <s v="OUT"/>
    <s v="OUTROS"/>
    <n v="5707973907"/>
    <x v="0"/>
    <s v="543.08"/>
    <s v="232.20"/>
    <n v="425"/>
    <s v="EM NEGOCIAÇÃO"/>
    <s v="SOLICITAR EXTINÇÃO DA AÇÃO"/>
    <n v="9999"/>
    <x v="7"/>
    <s v="15.27"/>
    <s v="anakeppe"/>
    <s v="Acima de 361"/>
    <s v="ACIONAMENTO"/>
    <x v="2"/>
  </r>
  <r>
    <s v="COGECOM"/>
    <n v="4835050"/>
    <s v="NELSON GRABOWSKI"/>
    <s v="OUT"/>
    <s v="OUTROS"/>
    <n v="18116337904"/>
    <x v="0"/>
    <s v="204.71"/>
    <s v="204.71"/>
    <n v="1304"/>
    <s v="SEM INTERESSE"/>
    <s v="NEGOCIAÇÃO VIA TELEFONE"/>
    <n v="1"/>
    <x v="7"/>
    <s v="11.28"/>
    <s v="gleise"/>
    <s v="Acima de 361"/>
    <s v="CPC"/>
    <x v="1"/>
  </r>
  <r>
    <s v="COGECOM"/>
    <n v="27829570"/>
    <s v="OLIVEIRA E PAIÃO COMÉRCIO DE ALIMENTOS LTDA"/>
    <s v="OUT"/>
    <s v="OUTROS"/>
    <n v="1228265000104"/>
    <x v="0"/>
    <s v="5304.76"/>
    <s v="1555.12"/>
    <n v="1263"/>
    <s v="NÃO LOCALIZADO"/>
    <s v="TELEFONES SEM ATENDIMENTO"/>
    <n v="1"/>
    <x v="7"/>
    <s v="11.50"/>
    <s v="gleise"/>
    <s v="Acima de 361"/>
    <s v="ACIONAMENTO"/>
    <x v="0"/>
  </r>
  <r>
    <s v="COGECOM"/>
    <n v="100630391"/>
    <s v="PAULO ALEXANDRE GOLES"/>
    <s v="OUT"/>
    <s v="OUTROS"/>
    <n v="5350456970"/>
    <x v="0"/>
    <s v="1279.40"/>
    <s v="221.65"/>
    <n v="497"/>
    <s v="AG RESPOSTA 1º CONTATO"/>
    <s v="ENVIADO MSG/E-MAIL 1º CONTATO"/>
    <n v="1"/>
    <x v="7"/>
    <s v="15.36"/>
    <s v="l.quadros"/>
    <s v="Acima de 361"/>
    <s v="ACIONAMENTO"/>
    <x v="4"/>
  </r>
  <r>
    <s v="COGECOM"/>
    <n v="9450084"/>
    <s v="PAULO CEZAR DA CRUZ"/>
    <s v="OUT"/>
    <s v="OUTROS"/>
    <n v="5662439974"/>
    <x v="0"/>
    <s v="698.12"/>
    <s v="319.80"/>
    <n v="829"/>
    <s v="NÃO LOCALIZADO"/>
    <s v="TELEFONES SEM ATENDIMENTO"/>
    <n v="1"/>
    <x v="7"/>
    <s v="10.26"/>
    <s v="gleise"/>
    <s v="Acima de 361"/>
    <s v="ACIONAMENTO"/>
    <x v="0"/>
  </r>
  <r>
    <s v="COGECOM"/>
    <n v="10034309371"/>
    <s v="PAULO ROBERTO DA SILVA"/>
    <s v="OUT"/>
    <s v="OUTROS"/>
    <n v="29714547890"/>
    <x v="0"/>
    <s v="533.93"/>
    <s v="30.76"/>
    <n v="219"/>
    <s v="NÃO LOCALIZADO"/>
    <s v="TELEFONES SEM ATENDIMENTO"/>
    <n v="1"/>
    <x v="7"/>
    <s v="10.49"/>
    <s v="gleise"/>
    <s v="181 a 360"/>
    <s v="ACIONAMENTO"/>
    <x v="0"/>
  </r>
  <r>
    <s v="COGECOM"/>
    <n v="105019453"/>
    <s v="RACHEL ALVES DE LIMA DE MACEDO"/>
    <s v="OUT"/>
    <s v="OUTROS"/>
    <n v="96337419987"/>
    <x v="0"/>
    <s v="1237.98"/>
    <s v="763.76"/>
    <n v="796"/>
    <s v="NÃO LOCALIZADO"/>
    <s v="TELEFONES SEM ATENDIMENTO"/>
    <n v="1"/>
    <x v="7"/>
    <s v="11.08"/>
    <s v="gleise"/>
    <s v="Acima de 361"/>
    <s v="ACIONAMENTO"/>
    <x v="0"/>
  </r>
  <r>
    <s v="COGECOM"/>
    <n v="3080124673"/>
    <s v="RAQUEL APARECIDA NUNES"/>
    <s v="OUT"/>
    <s v="OUTROS"/>
    <n v="70115400087"/>
    <x v="0"/>
    <s v="424.60"/>
    <s v="113.27"/>
    <n v="387"/>
    <s v="SEM INTERESSE"/>
    <s v="POSSÍVEL FRAUDE"/>
    <n v="1"/>
    <x v="7"/>
    <s v="16.32"/>
    <s v="l.quadros"/>
    <s v="Acima de 361"/>
    <s v="ACIONAMENTO"/>
    <x v="1"/>
  </r>
  <r>
    <s v="COGECOM"/>
    <n v="32070086"/>
    <s v="RCGOMES SERVICOS EM TELECOMUNICACOES LTDA"/>
    <s v="OUT"/>
    <s v="OUTROS"/>
    <n v="30014846000141"/>
    <x v="0"/>
    <s v="442.54"/>
    <s v="178.74"/>
    <n v="304"/>
    <s v="SEM INTERESSE"/>
    <s v="NEGOCIAÇÃO VIA TELEFONE"/>
    <n v="1"/>
    <x v="7"/>
    <s v="13.29"/>
    <s v="anakeppe"/>
    <s v="181 a 360"/>
    <s v="CPC"/>
    <x v="1"/>
  </r>
  <r>
    <s v="COGECOM"/>
    <n v="47773105"/>
    <s v="Rosane Teresinha Camargo da Rosa"/>
    <s v="OUT"/>
    <s v="OUTROS"/>
    <n v="65669452020"/>
    <x v="0"/>
    <s v="148.49"/>
    <s v="98.66"/>
    <n v="589"/>
    <s v="NÃO LOCALIZADO"/>
    <s v="TELEFONES SEM ATENDIMENTO"/>
    <n v="1"/>
    <x v="7"/>
    <s v="10.47"/>
    <s v="gleise"/>
    <s v="Acima de 361"/>
    <s v="ACIONAMENTO"/>
    <x v="0"/>
  </r>
  <r>
    <s v="COGECOM"/>
    <n v="51289404"/>
    <s v="SAVIO E MACEDO INDÚSTRIA E COMÉRCIO DE CONFECÇÕES LTDA ME"/>
    <s v="OUT"/>
    <s v="OUTROS"/>
    <n v="23693996000163"/>
    <x v="0"/>
    <s v="1620.83"/>
    <s v="602.60"/>
    <n v="691"/>
    <s v="NÃO LOCALIZADO"/>
    <s v="TELEFONES SEM ATENDIMENTO"/>
    <n v="1"/>
    <x v="7"/>
    <s v="11.11"/>
    <s v="gleise"/>
    <s v="Acima de 361"/>
    <s v="ACIONAMENTO"/>
    <x v="0"/>
  </r>
  <r>
    <s v="COGECOM"/>
    <n v="923524"/>
    <s v="SCHEILA XAVIER DE SOUZA"/>
    <s v="OUT"/>
    <s v="OUTROS"/>
    <n v="95088709900"/>
    <x v="0"/>
    <s v="203.77"/>
    <s v="118.03"/>
    <n v="409"/>
    <s v="AG RESPOSTA 1º CONTATO"/>
    <s v="ENVIADO MSG/E-MAIL 1º CONTATO"/>
    <n v="1"/>
    <x v="7"/>
    <s v="11.26"/>
    <s v="l.quadros"/>
    <s v="Acima de 361"/>
    <s v="ACIONAMENTO"/>
    <x v="4"/>
  </r>
  <r>
    <s v="COGECOM"/>
    <n v="1639340"/>
    <s v="SHARY GROSZEWICZ"/>
    <s v="OUT"/>
    <s v="OUTROS"/>
    <n v="35615249900"/>
    <x v="0"/>
    <s v="398.81"/>
    <s v="241.63"/>
    <n v="197"/>
    <s v="NÃO LOCALIZADO"/>
    <s v="TELEFONES SEM ATENDIMENTO"/>
    <n v="1"/>
    <x v="7"/>
    <s v="13.09"/>
    <s v="gleise"/>
    <s v="181 a 360"/>
    <s v="ACIONAMENTO"/>
    <x v="0"/>
  </r>
  <r>
    <s v="COGECOM"/>
    <n v="3082493381"/>
    <s v="SIMONE DA SILVA FEIJO"/>
    <s v="OUT"/>
    <s v="OUTROS"/>
    <n v="48852678034"/>
    <x v="0"/>
    <s v="719.20"/>
    <s v="154.28"/>
    <n v="476"/>
    <s v="SEM INTERESSE"/>
    <s v="ESTORNO"/>
    <n v="1"/>
    <x v="7"/>
    <s v="11.11"/>
    <s v="luciano"/>
    <s v="Acima de 361"/>
    <s v="ACIONAMENTO"/>
    <x v="1"/>
  </r>
  <r>
    <s v="COGECOM"/>
    <n v="10029442204"/>
    <s v="TATIANE DE PAULA GUILHERME"/>
    <s v="OUT"/>
    <s v="OUTROS"/>
    <n v="1668534100"/>
    <x v="0"/>
    <s v="392.75"/>
    <s v="89.88"/>
    <n v="223"/>
    <s v="NÃO LOCALIZADO"/>
    <s v="TELEFONES SEM ATENDIMENTO"/>
    <n v="1"/>
    <x v="7"/>
    <s v="9.33"/>
    <s v="gleise"/>
    <s v="181 a 360"/>
    <s v="ACIONAMENTO"/>
    <x v="0"/>
  </r>
  <r>
    <s v="COGECOM"/>
    <n v="3013986783"/>
    <s v="THAYENE MARQUES FERREIRA"/>
    <s v="OUT"/>
    <s v="OUTROS"/>
    <n v="10699470676"/>
    <x v="0"/>
    <s v="809.41"/>
    <s v="112.42"/>
    <n v="379"/>
    <s v="EM NEGOCIAÇÃO"/>
    <s v="NEGOCIAÇÃO VIA TELEFONE"/>
    <n v="1"/>
    <x v="7"/>
    <s v="16.00"/>
    <s v="l.quadros"/>
    <s v="Acima de 361"/>
    <s v="CPC"/>
    <x v="2"/>
  </r>
  <r>
    <s v="COGECOM"/>
    <n v="10000334330"/>
    <s v="WALTER SCHIMITT"/>
    <s v="OUT"/>
    <s v="OUTROS"/>
    <n v="32198760215"/>
    <x v="0"/>
    <s v="714.26"/>
    <s v="73.29"/>
    <n v="370"/>
    <s v="SEM INTERESSE"/>
    <s v="NEGOCIAÇÃO VIA TELEFONE"/>
    <n v="1"/>
    <x v="7"/>
    <s v="13.30"/>
    <s v="l.quadros"/>
    <s v="Acima de 361"/>
    <s v="CPC"/>
    <x v="1"/>
  </r>
  <r>
    <s v="COGECOM"/>
    <n v="3000289915"/>
    <s v="WILTON REGIS DUTRA"/>
    <s v="OUT"/>
    <s v="OUTROS"/>
    <n v="74598961600"/>
    <x v="0"/>
    <s v="990.79"/>
    <s v="77.89"/>
    <n v="318"/>
    <s v="NÃO LOCALIZADO"/>
    <s v="TELEFONES SEM ATENDIMENTO"/>
    <n v="1"/>
    <x v="7"/>
    <s v="10.20"/>
    <s v="gleise"/>
    <s v="181 a 360"/>
    <s v="ACIONAMENTO"/>
    <x v="0"/>
  </r>
  <r>
    <s v="COGECOM"/>
    <n v="106422170"/>
    <s v="ANDERSON CECCON"/>
    <s v="OUT"/>
    <s v="OUTROS"/>
    <n v="8660967950"/>
    <x v="0"/>
    <s v="5594.08"/>
    <s v="2347.84"/>
    <n v="301"/>
    <s v="NÃO LOCALIZADO"/>
    <s v="TELEFONES SEM ATENDIMENTO"/>
    <n v="1"/>
    <x v="7"/>
    <s v="11.44"/>
    <s v="gleise"/>
    <s v="181 a 360"/>
    <s v="ACIONAMENTO"/>
    <x v="0"/>
  </r>
  <r>
    <s v="COGECOM"/>
    <n v="3085531540"/>
    <s v="ROSANE DA SILVA PADILHA"/>
    <s v="OUT"/>
    <s v="OUTROS"/>
    <n v="60811439020"/>
    <x v="0"/>
    <s v="1264.60"/>
    <s v="809.72"/>
    <n v="384"/>
    <s v="SEM INTERESSE"/>
    <s v="NEGOCIAÇÃO VIA TELEFONE"/>
    <n v="1"/>
    <x v="7"/>
    <s v="11.39"/>
    <s v="anakeppe"/>
    <s v="Acima de 361"/>
    <s v="CPC"/>
    <x v="1"/>
  </r>
  <r>
    <s v="COGECOM"/>
    <n v="43176161"/>
    <s v="SARITA MIRANDA"/>
    <s v="OUT"/>
    <s v="OUTROS"/>
    <n v="77122410900"/>
    <x v="0"/>
    <s v="697.29"/>
    <s v="235.30"/>
    <n v="184"/>
    <s v="NÃO LOCALIZADO"/>
    <s v="TELEFONES SEM ATENDIMENTO"/>
    <n v="1"/>
    <x v="7"/>
    <s v="9.30"/>
    <s v="gleise"/>
    <s v="181 a 360"/>
    <s v="ACIONAMENTO"/>
    <x v="0"/>
  </r>
  <r>
    <s v="COGECOM"/>
    <n v="20897327"/>
    <s v="CAMILA CRISTINA DA SILVA"/>
    <s v="OUT"/>
    <s v="OUTROS"/>
    <n v="70098407171"/>
    <x v="0"/>
    <s v="540.20"/>
    <s v="160.63"/>
    <n v="181"/>
    <s v="SEM INTERESSE"/>
    <s v="NEGOCIAÇÃO VIA TELEFONE"/>
    <n v="1"/>
    <x v="7"/>
    <s v="15.52"/>
    <s v="gleise"/>
    <s v="181 a 360"/>
    <s v="CPC"/>
    <x v="1"/>
  </r>
  <r>
    <s v="COGECOM"/>
    <n v="3012739726"/>
    <s v="RAYLANE ALVES MENDES"/>
    <s v="OUT"/>
    <s v="OUTROS"/>
    <n v="10718963695"/>
    <x v="0"/>
    <s v="296.65"/>
    <s v="62.42"/>
    <n v="183"/>
    <s v="NÃO LOCALIZADO"/>
    <s v="TELEFONES SEM ATENDIMENTO"/>
    <n v="1"/>
    <x v="7"/>
    <s v="9.35"/>
    <s v="gleise"/>
    <s v="181 a 360"/>
    <s v="ACIONAMENTO"/>
    <x v="0"/>
  </r>
  <r>
    <s v="COGECOM"/>
    <n v="3080836314"/>
    <s v="RODRIGO SCHMIDT AVELAR"/>
    <s v="OUT"/>
    <s v="OUTROS"/>
    <n v="359924093"/>
    <x v="0"/>
    <s v="604.35"/>
    <s v="119.78"/>
    <n v="168"/>
    <s v="EM NEGOCIAÇÃO"/>
    <s v="NEGOCIAÇÃO VIA WHATSAPP"/>
    <n v="1"/>
    <x v="7"/>
    <s v="10.59"/>
    <s v="anakeppe"/>
    <s v="91 a 180"/>
    <s v="CPC"/>
    <x v="2"/>
  </r>
  <r>
    <s v="COGECOM"/>
    <n v="45591344"/>
    <s v="RONALDO SOARES"/>
    <s v="OUT"/>
    <s v="OUTROS"/>
    <n v="90743784987"/>
    <x v="0"/>
    <s v="8757.33"/>
    <s v="1254.46"/>
    <n v="345"/>
    <s v="NÃO LOCALIZADO"/>
    <s v="TELEFONES SEM ATENDIMENTO"/>
    <n v="1"/>
    <x v="7"/>
    <s v="11.52"/>
    <s v="gleise"/>
    <s v="181 a 360"/>
    <s v="ACIONAMENTO"/>
    <x v="0"/>
  </r>
  <r>
    <s v="COGECOM"/>
    <n v="3005889110"/>
    <s v="TATIANE TAMIRES RODRIGUES"/>
    <s v="OUT"/>
    <s v="OUTROS"/>
    <n v="8394305660"/>
    <x v="0"/>
    <s v="276.31"/>
    <s v="108.46"/>
    <n v="150"/>
    <s v="EM NEGOCIAÇÃO"/>
    <s v="NEGOCIAÇÃO VIA TELEFONE"/>
    <n v="1"/>
    <x v="7"/>
    <s v="10.39"/>
    <s v="anakeppe"/>
    <s v="91 a 180"/>
    <s v="CPC"/>
    <x v="2"/>
  </r>
  <r>
    <s v="COGECOM"/>
    <n v="3000348432"/>
    <s v="DENISE GOMES"/>
    <s v="OUT"/>
    <s v="OUTROS"/>
    <n v="24981915691"/>
    <x v="0"/>
    <s v="250.21"/>
    <s v="90.83"/>
    <n v="150"/>
    <s v="NÃO LOCALIZADO"/>
    <s v="GERAÇÃO DE ACORDO"/>
    <n v="13"/>
    <x v="7"/>
    <s v="16.10"/>
    <s v="gleise"/>
    <s v="91 a 180"/>
    <s v="CPC"/>
    <x v="0"/>
  </r>
  <r>
    <s v="COGECOM"/>
    <n v="28452330"/>
    <s v="FRANCISCO ALDENIZO LEMOS"/>
    <s v="OUT"/>
    <s v="OUTROS"/>
    <n v="96548665953"/>
    <x v="0"/>
    <s v="9902.26"/>
    <s v="2915.74"/>
    <n v="185"/>
    <s v="NÃO LOCALIZADO"/>
    <s v="TELEFONES SEM ATENDIMENTO"/>
    <n v="1"/>
    <x v="7"/>
    <s v="14.18"/>
    <s v="gleise"/>
    <s v="181 a 360"/>
    <s v="ACIONAMENTO"/>
    <x v="0"/>
  </r>
  <r>
    <s v="COGECOM"/>
    <n v="10029373946"/>
    <s v="MARCIO ANTONIO ALVES"/>
    <s v="OUT"/>
    <s v="OUTROS"/>
    <n v="53108493191"/>
    <x v="0"/>
    <s v="9618.86"/>
    <s v="2480.31"/>
    <n v="205"/>
    <s v="NÃO LOCALIZADO"/>
    <s v="TELEFONES SEM ATENDIMENTO"/>
    <n v="1"/>
    <x v="7"/>
    <s v="9.24"/>
    <s v="gleise"/>
    <s v="181 a 360"/>
    <s v="ACIONAMENTO"/>
    <x v="0"/>
  </r>
  <r>
    <s v="COGECOM"/>
    <n v="10011751892"/>
    <s v="LORENA COSTA FREITAS"/>
    <s v="OUT"/>
    <s v="OUTROS"/>
    <n v="869037137"/>
    <x v="0"/>
    <s v="2441.99"/>
    <s v="1071.04"/>
    <n v="130"/>
    <s v="SEM INTERESSE"/>
    <s v="NEGOCIAÇÃO VIA TELEFONE"/>
    <n v="1"/>
    <x v="7"/>
    <s v="11.05"/>
    <s v="gleise"/>
    <s v="91 a 180"/>
    <s v="CPC"/>
    <x v="1"/>
  </r>
  <r>
    <s v="COGECOM"/>
    <n v="201936"/>
    <s v="OLGA GOMES BAIDO"/>
    <s v="OUT"/>
    <s v="OUTROS"/>
    <n v="75522039949"/>
    <x v="0"/>
    <s v="1268.59"/>
    <s v="314.84"/>
    <n v="116"/>
    <s v="AG RESPOSTA 1º CONTATO"/>
    <s v="ENVIADO MSG/E-MAIL 1º CONTATO"/>
    <n v="1"/>
    <x v="7"/>
    <s v="13.24"/>
    <s v="l.quadros"/>
    <s v="91 a 180"/>
    <s v="ACIONAMENTO"/>
    <x v="4"/>
  </r>
  <r>
    <s v="COGECOM"/>
    <n v="35109599"/>
    <s v="PAULO ROBERTO DE ANDRADE"/>
    <s v="OUT"/>
    <s v="OUTROS"/>
    <n v="2935178947"/>
    <x v="0"/>
    <s v="462.44"/>
    <s v="228.21"/>
    <n v="130"/>
    <s v="NÃO LOCALIZADO"/>
    <s v="TELEFONES SEM ATENDIMENTO"/>
    <n v="1"/>
    <x v="7"/>
    <s v="10.31"/>
    <s v="gleise"/>
    <s v="91 a 180"/>
    <s v="ACIONAMENTO"/>
    <x v="0"/>
  </r>
  <r>
    <s v="COGECOM"/>
    <n v="69576505"/>
    <s v="ADILSON PEREIRA DE MIRANDA"/>
    <s v="OUT"/>
    <s v="OUTROS"/>
    <n v="36577065934"/>
    <x v="0"/>
    <s v="155.38"/>
    <s v="44.16"/>
    <n v="126"/>
    <s v="SEM CONDIÇÕES"/>
    <s v="NEGOCIAÇÃO VIA TELEFONE"/>
    <n v="1"/>
    <x v="7"/>
    <s v="16.18"/>
    <s v="gleise"/>
    <s v="91 a 180"/>
    <s v="CPC"/>
    <x v="3"/>
  </r>
  <r>
    <s v="COGECOM"/>
    <n v="3095295693"/>
    <s v="DIEGO RODRIGO DE VARGAS"/>
    <s v="OUT"/>
    <s v="OUTROS"/>
    <n v="874938023"/>
    <x v="0"/>
    <s v="239.58"/>
    <s v="239.58"/>
    <n v="85"/>
    <s v="NÃO LOCALIZADO"/>
    <s v="TELEFONES SEM ATENDIMENTO"/>
    <n v="1"/>
    <x v="7"/>
    <s v="13.17"/>
    <s v="gleise"/>
    <s v="61 a 90"/>
    <s v="ACIONAMENTO"/>
    <x v="0"/>
  </r>
  <r>
    <s v="COGECOM"/>
    <n v="3083307995"/>
    <s v="THERCIUS DAL BOSCO"/>
    <s v="OUT"/>
    <s v="OUTROS"/>
    <n v="423624075"/>
    <x v="0"/>
    <s v="94.35"/>
    <s v="218.84"/>
    <n v="116"/>
    <s v="AG RESPOSTA 1º CONTATO"/>
    <s v="DISCAGEM AUTOMATICA FALHOU"/>
    <n v="1"/>
    <x v="7"/>
    <s v="17.01"/>
    <s v="l.quadros"/>
    <s v="91 a 180"/>
    <s v="ACIONAMENTO"/>
    <x v="4"/>
  </r>
  <r>
    <s v="COGECOM"/>
    <n v="3085100012"/>
    <s v="VOLNEI TOMAZELLI"/>
    <s v="OUT"/>
    <s v="OUTROS"/>
    <n v="92393454004"/>
    <x v="0"/>
    <s v="163.29"/>
    <s v="163.29"/>
    <n v="136"/>
    <s v="NÃO LOCALIZADO"/>
    <s v="TELEFONES SEM ATENDIMENTO"/>
    <n v="1"/>
    <x v="7"/>
    <s v="11.30"/>
    <s v="gleise"/>
    <s v="91 a 180"/>
    <s v="ACIONAMENTO"/>
    <x v="0"/>
  </r>
  <r>
    <s v="COGECOM"/>
    <n v="898066"/>
    <s v="PROTTA &amp; BUENO COMERCIO DE TORTAS LTDA"/>
    <s v="OUT"/>
    <s v="OUTROS"/>
    <n v="27970716000178"/>
    <x v="0"/>
    <s v="4259.03"/>
    <s v="1211.15"/>
    <n v="155"/>
    <s v="SEM INTERESSE"/>
    <s v="NEGOCIAÇÃO VIA TELEFONE"/>
    <n v="1"/>
    <x v="7"/>
    <s v="11.55"/>
    <s v="gleise"/>
    <s v="91 a 180"/>
    <s v="CPC"/>
    <x v="1"/>
  </r>
  <r>
    <s v="COGECOM"/>
    <n v="89415086"/>
    <s v="JOAO SERGIO KOVALSKI"/>
    <s v="OUT"/>
    <s v="OUTROS"/>
    <n v="37217615968"/>
    <x v="0"/>
    <s v="101.50"/>
    <s v="101.50"/>
    <n v="138"/>
    <m/>
    <s v="SOLICITAR EXTINÇÃO DA AÇÃO"/>
    <n v="9999"/>
    <x v="7"/>
    <s v="16.22"/>
    <s v="gleise"/>
    <s v="91 a 180"/>
    <s v="ACIONAMENTO"/>
    <x v="4"/>
  </r>
  <r>
    <s v="COGECOM"/>
    <n v="10018569976"/>
    <s v="FRANCISCO FERREIRA SOBRINHO"/>
    <s v="OUT"/>
    <s v="OUTROS"/>
    <n v="1777179807"/>
    <x v="0"/>
    <s v="414.09"/>
    <s v="94.22"/>
    <n v="141"/>
    <m/>
    <s v="ESTORNO"/>
    <n v="9999"/>
    <x v="7"/>
    <s v="13.53"/>
    <s v="luciano"/>
    <s v="91 a 180"/>
    <s v="ACIONAMENTO"/>
    <x v="4"/>
  </r>
  <r>
    <s v="COGECOM"/>
    <n v="101703228"/>
    <s v="GUILHERME HENRIQUE BAGGIO CURI"/>
    <s v="OUT"/>
    <s v="OUTROS"/>
    <n v="4614482970"/>
    <x v="1"/>
    <s v="0.00"/>
    <s v="369.17"/>
    <n v="130"/>
    <s v="SEM INTERESSE"/>
    <s v="NEGOCIAÇÃO VIA TELEFONE"/>
    <n v="1"/>
    <x v="7"/>
    <s v="11.19"/>
    <s v="gleise"/>
    <s v="91 a 180"/>
    <s v="CPC"/>
    <x v="1"/>
  </r>
  <r>
    <s v="COGECOM"/>
    <n v="95951610"/>
    <s v="FÁBIO JOSÉ HENTZ"/>
    <s v="OUT"/>
    <s v="OUTROS"/>
    <n v="28863320896"/>
    <x v="0"/>
    <s v="325.45"/>
    <s v="197.69"/>
    <n v="89"/>
    <s v="AG RESPOSTA 1º CONTATO"/>
    <s v="ENVIADO MSG/E-MAIL 1º CONTATO"/>
    <n v="1"/>
    <x v="7"/>
    <s v="14.16"/>
    <s v="l.quadros"/>
    <s v="61 a 90"/>
    <s v="ACIONAMENTO"/>
    <x v="4"/>
  </r>
  <r>
    <s v="COGECOM"/>
    <n v="4003180793"/>
    <s v="FRANCISCA MARCIA MACHADO DA SILVA"/>
    <s v="OUT"/>
    <s v="OUTROS"/>
    <n v="22833065825"/>
    <x v="0"/>
    <s v="1924.69"/>
    <s v="1924.69"/>
    <n v="79"/>
    <s v="SEM INTERESSE"/>
    <s v="NEGOCIAÇÃO VIA TELEFONE"/>
    <n v="1"/>
    <x v="7"/>
    <s v="11.48"/>
    <s v="gleise"/>
    <s v="61 a 90"/>
    <s v="CPC"/>
    <x v="1"/>
  </r>
  <r>
    <s v="COGECOM"/>
    <n v="53381383"/>
    <s v="ALBERTINA BROCCA"/>
    <s v="OUT"/>
    <s v="OUTROS"/>
    <n v="58193146972"/>
    <x v="0"/>
    <s v="40.26"/>
    <s v="40.26"/>
    <n v="66"/>
    <s v="SEM INTERESSE"/>
    <s v="NEGOCIAÇÃO VIA TELEFONE"/>
    <n v="1"/>
    <x v="7"/>
    <s v="13.30"/>
    <s v="gleise"/>
    <s v="61 a 90"/>
    <s v="CPC"/>
    <x v="1"/>
  </r>
  <r>
    <s v="COGECOM"/>
    <n v="43562355"/>
    <s v="ANA PAULA FERNANDES MACHADO"/>
    <s v="OUT"/>
    <s v="OUTROS"/>
    <n v="5175650998"/>
    <x v="0"/>
    <s v="205.69"/>
    <s v="69.48"/>
    <n v="71"/>
    <s v="AG RESPOSTA 1º CONTATO"/>
    <s v="ENVIADO MSG/E-MAIL 1º CONTATO"/>
    <n v="1"/>
    <x v="7"/>
    <s v="16.36"/>
    <s v="l.quadros"/>
    <s v="61 a 90"/>
    <s v="ACIONAMENTO"/>
    <x v="4"/>
  </r>
  <r>
    <s v="COGECOM"/>
    <n v="3004569354"/>
    <s v="CAROLINE BATISTA DOMINGUES MENDES"/>
    <s v="OUT"/>
    <s v="OUTROS"/>
    <n v="32660601801"/>
    <x v="1"/>
    <s v="0.00"/>
    <s v="209.94"/>
    <n v="65"/>
    <s v="ACORDO VIGENTE COLCHÃO EM DIA"/>
    <s v="NEGOCIAÇÃO VIA WHATSAPP"/>
    <n v="1"/>
    <x v="7"/>
    <s v="10.57"/>
    <s v="anakeppe"/>
    <s v="61 a 90"/>
    <s v="CPC"/>
    <x v="2"/>
  </r>
  <r>
    <s v="COGECOM"/>
    <n v="84669551"/>
    <s v="CONTORNO DA BOLA LTDA"/>
    <s v="OUT"/>
    <s v="OUTROS"/>
    <n v="11263196000123"/>
    <x v="0"/>
    <s v="4264.17"/>
    <s v="2082.04"/>
    <n v="70"/>
    <s v="NÃO LOCALIZADO"/>
    <s v="TELEFONES SEM ATENDIMENTO"/>
    <n v="1"/>
    <x v="7"/>
    <s v="16.47"/>
    <s v="gleise"/>
    <s v="61 a 90"/>
    <s v="ACIONAMENTO"/>
    <x v="0"/>
  </r>
  <r>
    <s v="COGECOM"/>
    <n v="72786183"/>
    <s v="DANIEL AUGUSTO DE CAMARGO LEONY"/>
    <s v="OUT"/>
    <s v="OUTROS"/>
    <n v="2717219951"/>
    <x v="0"/>
    <s v="159.30"/>
    <s v="159.30"/>
    <n v="71"/>
    <s v="NÃO LOCALIZADO"/>
    <s v="TELEFONES SEM ATENDIMENTO"/>
    <n v="1"/>
    <x v="7"/>
    <s v="11.30"/>
    <s v="gleise"/>
    <s v="61 a 90"/>
    <s v="ACIONAMENTO"/>
    <x v="0"/>
  </r>
  <r>
    <s v="COGECOM"/>
    <n v="31194920"/>
    <s v="JANICE DA SILVA MATTOS DIMER"/>
    <s v="OUT"/>
    <s v="OUTROS"/>
    <n v="43535100020"/>
    <x v="0"/>
    <s v="155.51"/>
    <s v="68.38"/>
    <n v="71"/>
    <s v="SEM INTERESSE"/>
    <s v="NEGOCIAÇÃO VIA TELEFONE"/>
    <n v="1"/>
    <x v="7"/>
    <s v="11.40"/>
    <s v="gleise"/>
    <s v="61 a 90"/>
    <s v="CPC"/>
    <x v="1"/>
  </r>
  <r>
    <s v="COGECOM"/>
    <n v="99532492"/>
    <s v="MAURO SHINDI MIYAUTI"/>
    <s v="OUT"/>
    <s v="OUTROS"/>
    <n v="4315203998"/>
    <x v="1"/>
    <s v="0.00"/>
    <s v="82.95"/>
    <n v="65"/>
    <s v="NÃO LOCALIZADO"/>
    <s v="ALTERACAO DEBITO"/>
    <n v="19"/>
    <x v="7"/>
    <s v="12.28"/>
    <s v="elizabel"/>
    <s v="61 a 90"/>
    <s v="ACIONAMENTO"/>
    <x v="0"/>
  </r>
  <r>
    <s v="COGECOM"/>
    <n v="9765212"/>
    <s v="SAMUEL FERREIRA DA  COSTA"/>
    <s v="OUT"/>
    <s v="OUTROS"/>
    <n v="3975591943"/>
    <x v="0"/>
    <s v="144.49"/>
    <s v="144.49"/>
    <n v="71"/>
    <s v="AG RESPOSTA 1º CONTATO"/>
    <s v="ENVIADO MSG/E-MAIL 1º CONTATO"/>
    <n v="1"/>
    <x v="7"/>
    <s v="16.53"/>
    <s v="l.quadros"/>
    <s v="61 a 90"/>
    <s v="ACIONAMENTO"/>
    <x v="4"/>
  </r>
  <r>
    <s v="COGECOM"/>
    <n v="43360505"/>
    <s v="VALMIR DIAS PEREIRA"/>
    <s v="OUT"/>
    <s v="OUTROS"/>
    <n v="52526585953"/>
    <x v="0"/>
    <s v="654.40"/>
    <s v="611.20"/>
    <n v="69"/>
    <s v="NÃO LOCALIZADO"/>
    <s v="TELEFONES SEM ATENDIMENTO"/>
    <n v="1"/>
    <x v="7"/>
    <s v="16.52"/>
    <s v="gleise"/>
    <s v="61 a 90"/>
    <s v="ACIONAMENTO"/>
    <x v="0"/>
  </r>
  <r>
    <s v="COGECOM"/>
    <n v="27455921"/>
    <s v="LARISSA ALVES BASTOS"/>
    <s v="OUT"/>
    <s v="OUTROS"/>
    <n v="304610224"/>
    <x v="0"/>
    <s v="863.02"/>
    <s v="863.02"/>
    <n v="62"/>
    <s v="NÃO LOCALIZADO"/>
    <s v="TELEFONES SEM ATENDIMENTO"/>
    <n v="1"/>
    <x v="7"/>
    <s v="11.57"/>
    <s v="gleise"/>
    <s v="61 a 90"/>
    <s v="ACIONAMENTO"/>
    <x v="0"/>
  </r>
  <r>
    <s v="COGECOM"/>
    <n v="8843074"/>
    <s v="PAULO BRUNO LEOBET"/>
    <s v="OUT"/>
    <s v="OUTROS"/>
    <n v="54352940968"/>
    <x v="0"/>
    <s v="145.58"/>
    <s v="145.58"/>
    <n v="62"/>
    <s v="SEM INTERESSE"/>
    <s v="NEGOCIAÇÃO VIA TELEFONE"/>
    <n v="1"/>
    <x v="7"/>
    <s v="17.01"/>
    <s v="gleise"/>
    <s v="61 a 90"/>
    <s v="CPC"/>
    <x v="1"/>
  </r>
  <r>
    <s v="COGECOM"/>
    <n v="3095597685"/>
    <s v="NADIESCA TAISA FILIPPIN"/>
    <s v="OUT"/>
    <s v="OUTROS"/>
    <n v="96665939049"/>
    <x v="0"/>
    <s v="165.96"/>
    <s v="165.96"/>
    <n v="51"/>
    <s v="SEM INTERESSE"/>
    <s v="NEGOCIAÇÃO VIA WHATSAPP"/>
    <n v="1"/>
    <x v="7"/>
    <s v="11.44"/>
    <s v="l.quadros"/>
    <s v="31 a 60"/>
    <s v="CPC"/>
    <x v="1"/>
  </r>
  <r>
    <s v="COGECOM"/>
    <n v="3090563415"/>
    <s v="TEREZINHA SANTOS DE MENEZES"/>
    <s v="OUT"/>
    <s v="OUTROS"/>
    <n v="69489289000"/>
    <x v="0"/>
    <s v="155.68"/>
    <s v="155.68"/>
    <n v="53"/>
    <s v="NÃO LOCALIZADO"/>
    <s v="TELEFONES SEM ATENDIMENTO"/>
    <n v="1"/>
    <x v="7"/>
    <s v="10.43"/>
    <s v="gleise"/>
    <s v="31 a 60"/>
    <s v="ACIONAMENTO"/>
    <x v="0"/>
  </r>
  <r>
    <s v="COGECOM"/>
    <n v="3859347"/>
    <s v="CLEIA MARIA SOSNITZKI BARROS"/>
    <s v="OUT"/>
    <s v="OUTROS"/>
    <n v="75585596934"/>
    <x v="0"/>
    <s v="98.98"/>
    <s v="98.98"/>
    <n v="44"/>
    <s v="NÃO LOCALIZADO"/>
    <s v="TELEFONES SEM ATENDIMENTO"/>
    <n v="1"/>
    <x v="7"/>
    <s v="11.36"/>
    <s v="gleise"/>
    <s v="31 a 60"/>
    <s v="ACIONAMENTO"/>
    <x v="0"/>
  </r>
  <r>
    <s v="COGECOM"/>
    <n v="55534306"/>
    <s v="CIJ CAFÉS LTDA"/>
    <s v="OUT"/>
    <s v="OUTROS"/>
    <n v="40038080000199"/>
    <x v="0"/>
    <s v="2279.15"/>
    <s v="2279.15"/>
    <n v="62"/>
    <s v="NÃO LOCALIZADO"/>
    <s v="TELEFONES SEM ATENDIMENTO"/>
    <n v="1"/>
    <x v="7"/>
    <s v="10.56"/>
    <s v="gleise"/>
    <s v="61 a 90"/>
    <s v="ACIONAMENTO"/>
    <x v="0"/>
  </r>
  <r>
    <s v="COGECOM"/>
    <n v="3005279614"/>
    <s v="LORENA FREITAS"/>
    <s v="OUT"/>
    <s v="OUTROS"/>
    <n v="10333776607"/>
    <x v="0"/>
    <s v="101.35"/>
    <s v="101.35"/>
    <n v="43"/>
    <s v="SEM INTERESSE"/>
    <s v="NEGOCIAÇÃO VIA TELEFONE"/>
    <n v="1"/>
    <x v="7"/>
    <s v="11.35"/>
    <s v="gleise"/>
    <s v="31 a 60"/>
    <s v="CPC"/>
    <x v="1"/>
  </r>
  <r>
    <s v="COGECOM"/>
    <n v="3005897412"/>
    <s v="LUCIANA MARIA SOARES GRAVINA"/>
    <s v="OUT"/>
    <s v="OUTROS"/>
    <n v="95865845691"/>
    <x v="0"/>
    <s v="73.78"/>
    <s v="73.78"/>
    <n v="43"/>
    <s v="NÃO LOCALIZADO"/>
    <s v="TELEFONES SEM ATENDIMENTO"/>
    <n v="1"/>
    <x v="7"/>
    <s v="13.27"/>
    <s v="gleise"/>
    <s v="31 a 60"/>
    <s v="ACIONAMENTO"/>
    <x v="0"/>
  </r>
  <r>
    <s v="COGECOM"/>
    <n v="20610590"/>
    <s v="ART PÃO PADARIA E CONFEITARIA LTDA"/>
    <s v="OUT"/>
    <s v="OUTROS"/>
    <n v="82186909000140"/>
    <x v="0"/>
    <s v="14115.64"/>
    <s v="4232.80"/>
    <n v="126"/>
    <s v="NÃO LOCALIZADO"/>
    <s v="TELEFONES SEM ATENDIMENTO"/>
    <n v="1"/>
    <x v="7"/>
    <s v="10.54"/>
    <s v="gleise"/>
    <s v="91 a 180"/>
    <s v="ACIONAMENTO"/>
    <x v="0"/>
  </r>
  <r>
    <s v="COGECOM"/>
    <n v="189073"/>
    <s v="SANTO FOGÃO RESTAURANTE E GRILL LTDA"/>
    <s v="OUT"/>
    <s v="OUTROS"/>
    <n v="32947511000101"/>
    <x v="0"/>
    <s v="4813.99"/>
    <s v="3036.03"/>
    <n v="76"/>
    <s v="AG RESPOSTA 1º CONTATO"/>
    <s v="ENVIADO MSG/E-MAIL 1º CONTATO"/>
    <n v="1"/>
    <x v="7"/>
    <s v="11.41"/>
    <s v="l.quadros"/>
    <s v="61 a 90"/>
    <s v="ACIONAMENTO"/>
    <x v="4"/>
  </r>
  <r>
    <s v="COGECOM"/>
    <n v="29611210"/>
    <s v="JULIO YUKIHARU IRIZAWA"/>
    <s v="OUT"/>
    <s v="OUTROS"/>
    <n v="44581866987"/>
    <x v="0"/>
    <s v="436.62"/>
    <s v="436.62"/>
    <n v="187"/>
    <s v="SEM INTERESSE"/>
    <s v="NEGOCIAÇÃO VIA TELEFONE"/>
    <n v="1"/>
    <x v="7"/>
    <s v="10.41"/>
    <s v="anakeppe"/>
    <s v="181 a 360"/>
    <s v="CPC"/>
    <x v="1"/>
  </r>
  <r>
    <s v="COGECOM"/>
    <n v="24033561"/>
    <s v="CIRCA BENEDITA GARCIA"/>
    <s v="OUT"/>
    <s v="OUTROS"/>
    <n v="17168574817"/>
    <x v="0"/>
    <s v="195.33"/>
    <s v="195.33"/>
    <n v="32"/>
    <s v="NÃO LOCALIZADO"/>
    <s v="TELEFONES SEM ATENDIMENTO"/>
    <n v="1"/>
    <x v="7"/>
    <s v="13.18"/>
    <s v="gleise"/>
    <s v="31 a 60"/>
    <s v="ACIONAMENTO"/>
    <x v="0"/>
  </r>
  <r>
    <s v="COGECOM"/>
    <n v="20330182"/>
    <s v="FERNANDO MAURICIO ALVES ATIE"/>
    <s v="OUT"/>
    <s v="OUTROS"/>
    <n v="43454020182"/>
    <x v="0"/>
    <s v="536.64"/>
    <s v="536.64"/>
    <n v="331"/>
    <s v="NÃO LOCALIZADO"/>
    <s v="ESTORNO"/>
    <n v="5"/>
    <x v="8"/>
    <s v="15.16"/>
    <s v="luciano"/>
    <s v="181 a 360"/>
    <s v="ACIONAMENTO"/>
    <x v="0"/>
  </r>
  <r>
    <s v="COGECOM"/>
    <n v="64644987"/>
    <s v="LUIZ FRANCISCO AVILA"/>
    <s v="OUT"/>
    <s v="OUTROS"/>
    <n v="55867588904"/>
    <x v="0"/>
    <s v="851.87"/>
    <s v="304.72"/>
    <n v="433"/>
    <s v="NÃO LOCALIZADO"/>
    <s v="TELEFONES SEM ATENDIMENTO"/>
    <n v="2"/>
    <x v="8"/>
    <s v="16.28"/>
    <s v="gleise"/>
    <s v="Acima de 361"/>
    <s v="ACIONAMENTO"/>
    <x v="0"/>
  </r>
  <r>
    <s v="COGECOM"/>
    <n v="10005904186"/>
    <s v="Adenilson Arantes de Carvalho"/>
    <s v="OUT"/>
    <s v="OUTROS"/>
    <n v="48497355172"/>
    <x v="0"/>
    <s v="1191.32"/>
    <s v="117.00"/>
    <n v="331"/>
    <s v="NÃO LOCALIZADO"/>
    <s v="TELEFONES SEM ATENDIMENTO"/>
    <n v="2"/>
    <x v="8"/>
    <s v="16.39"/>
    <s v="gleise"/>
    <s v="181 a 360"/>
    <s v="ACIONAMENTO"/>
    <x v="0"/>
  </r>
  <r>
    <s v="COGECOM"/>
    <n v="3004849224"/>
    <s v="ALESSANDRA CALDEIRA PEIXOTO DE OLIVEIRA"/>
    <s v="OUT"/>
    <s v="OUTROS"/>
    <n v="2727524609"/>
    <x v="0"/>
    <s v="774.55"/>
    <s v="367.63"/>
    <n v="442"/>
    <s v="NÃO LOCALIZADO"/>
    <s v="TELEFONES SEM ATENDIMENTO"/>
    <n v="2"/>
    <x v="8"/>
    <s v="13.27"/>
    <s v="gleise"/>
    <s v="Acima de 361"/>
    <s v="ACIONAMENTO"/>
    <x v="0"/>
  </r>
  <r>
    <s v="COGECOM"/>
    <n v="3012717225"/>
    <s v="ALEXANDRE BUENO COSTA"/>
    <s v="OUT"/>
    <s v="OUTROS"/>
    <n v="14214111800"/>
    <x v="0"/>
    <s v="384.16"/>
    <s v="99.44"/>
    <n v="271"/>
    <s v="NÃO LOCALIZADO"/>
    <s v="TELEFONES SEM ATENDIMENTO"/>
    <n v="2"/>
    <x v="8"/>
    <s v="13.30"/>
    <s v="gleise"/>
    <s v="181 a 360"/>
    <s v="ACIONAMENTO"/>
    <x v="0"/>
  </r>
  <r>
    <s v="COGECOM"/>
    <n v="28222750"/>
    <s v="ALEXANDRE CAMARGO GRACIANO"/>
    <s v="OUT"/>
    <s v="OUTROS"/>
    <n v="81795424915"/>
    <x v="0"/>
    <s v="60.18"/>
    <s v="60.18"/>
    <n v="489"/>
    <s v="NÃO LOCALIZADO"/>
    <s v="TELEFONES SEM ATENDIMENTO"/>
    <n v="2"/>
    <x v="8"/>
    <s v="13.27"/>
    <s v="gleise"/>
    <s v="Acima de 361"/>
    <s v="ACIONAMENTO"/>
    <x v="0"/>
  </r>
  <r>
    <s v="COGECOM"/>
    <n v="42925349"/>
    <s v="ALEXANDRE JOSE FIEDLER"/>
    <s v="OUT"/>
    <s v="OUTROS"/>
    <n v="92114555968"/>
    <x v="0"/>
    <s v="33.06"/>
    <s v="33.06"/>
    <n v="549"/>
    <s v="NÃO LOCALIZADO"/>
    <s v="TELEFONES SEM ATENDIMENTO"/>
    <n v="2"/>
    <x v="8"/>
    <s v="11.10"/>
    <s v="gleise"/>
    <s v="Acima de 361"/>
    <s v="ACIONAMENTO"/>
    <x v="0"/>
  </r>
  <r>
    <s v="COGECOM"/>
    <n v="48853528"/>
    <s v="ALTAIR MANZINI"/>
    <s v="OUT"/>
    <s v="OUTROS"/>
    <n v="32076451862"/>
    <x v="1"/>
    <s v="191.15"/>
    <s v="224.31"/>
    <n v="218"/>
    <s v="SEM INTERESSE"/>
    <s v="NEGOCIAÇÃO VIA TELEFONE"/>
    <n v="2"/>
    <x v="8"/>
    <s v="13.29"/>
    <s v="gleise"/>
    <s v="181 a 360"/>
    <s v="CPC"/>
    <x v="1"/>
  </r>
  <r>
    <s v="COGECOM"/>
    <n v="83939270"/>
    <s v="ANDERSON ALVARES TEIXEIRA"/>
    <s v="OUT"/>
    <s v="OUTROS"/>
    <n v="14944578814"/>
    <x v="0"/>
    <s v="474.14"/>
    <s v="214.20"/>
    <n v="557"/>
    <s v="NÃO LOCALIZADO"/>
    <s v="TELEFONES SEM ATENDIMENTO"/>
    <n v="2"/>
    <x v="8"/>
    <s v="13.30"/>
    <s v="gleise"/>
    <s v="Acima de 361"/>
    <s v="ACIONAMENTO"/>
    <x v="0"/>
  </r>
  <r>
    <s v="COGECOM"/>
    <n v="44544423"/>
    <s v="ANDRE DE MOURA DA   SILVA"/>
    <s v="OUT"/>
    <s v="OUTROS"/>
    <n v="7295470948"/>
    <x v="0"/>
    <s v="391.61"/>
    <s v="277.36"/>
    <n v="221"/>
    <s v="NÃO LOCALIZADO"/>
    <s v="TELEFONES SEM ATENDIMENTO"/>
    <n v="2"/>
    <x v="8"/>
    <s v="13.32"/>
    <s v="gleise"/>
    <s v="181 a 360"/>
    <s v="ACIONAMENTO"/>
    <x v="0"/>
  </r>
  <r>
    <s v="COGECOM"/>
    <n v="3082014295"/>
    <s v="ANTONIO CARLOS VIEIRA NETTO"/>
    <s v="OUT"/>
    <s v="OUTROS"/>
    <n v="20432089004"/>
    <x v="0"/>
    <s v="262.01"/>
    <s v="262.01"/>
    <n v="498"/>
    <s v="NÃO LOCALIZADO"/>
    <s v="TELEFONES SEM ATENDIMENTO"/>
    <n v="2"/>
    <x v="8"/>
    <s v="16.29"/>
    <s v="gleise"/>
    <s v="Acima de 361"/>
    <s v="ACIONAMENTO"/>
    <x v="0"/>
  </r>
  <r>
    <s v="COGECOM"/>
    <n v="3013704240"/>
    <s v="BRUNO DE OLIVEIRA BROCHADO"/>
    <s v="OUT"/>
    <s v="OUTROS"/>
    <n v="37601108864"/>
    <x v="0"/>
    <s v="805.47"/>
    <s v="160.92"/>
    <n v="284"/>
    <s v="NÃO LOCALIZADO"/>
    <s v="TELEFONES SEM ATENDIMENTO"/>
    <n v="2"/>
    <x v="8"/>
    <s v="13.03"/>
    <s v="gleise"/>
    <s v="181 a 360"/>
    <s v="ACIONAMENTO"/>
    <x v="0"/>
  </r>
  <r>
    <s v="COGECOM"/>
    <n v="97709735"/>
    <s v="CARLOS HENRIQUE PALADINI"/>
    <s v="OUT"/>
    <s v="OUTROS"/>
    <n v="3859834924"/>
    <x v="0"/>
    <s v="1609.38"/>
    <s v="352.50"/>
    <n v="485"/>
    <s v="NÃO LOCALIZADO"/>
    <s v="TELEFONES SEM ATENDIMENTO"/>
    <n v="2"/>
    <x v="8"/>
    <s v="13.36"/>
    <s v="gleise"/>
    <s v="Acima de 361"/>
    <s v="ACIONAMENTO"/>
    <x v="0"/>
  </r>
  <r>
    <s v="COGECOM"/>
    <n v="108261190"/>
    <s v="CLAUDIR SOUZA DE OLIVEIRA"/>
    <s v="OUT"/>
    <s v="OUTROS"/>
    <n v="51269279904"/>
    <x v="0"/>
    <s v="334.81"/>
    <s v="183.71"/>
    <n v="636"/>
    <s v="SEM INTERESSE"/>
    <s v="NEGOCIAÇÃO VIA TELEFONE"/>
    <n v="2"/>
    <x v="8"/>
    <s v="11.01"/>
    <s v="gleise"/>
    <s v="Acima de 361"/>
    <s v="CPC"/>
    <x v="1"/>
  </r>
  <r>
    <s v="COGECOM"/>
    <n v="7605633"/>
    <s v="CLECIO HENRIQUE JOHN"/>
    <s v="OUT"/>
    <s v="OUTROS"/>
    <n v="6229164914"/>
    <x v="0"/>
    <s v="126.95"/>
    <s v="91.79"/>
    <n v="451"/>
    <s v="NÃO LOCALIZADO"/>
    <s v="TELEFONES SEM ATENDIMENTO"/>
    <n v="2"/>
    <x v="8"/>
    <s v="13.39"/>
    <s v="gleise"/>
    <s v="Acima de 361"/>
    <s v="ACIONAMENTO"/>
    <x v="0"/>
  </r>
  <r>
    <s v="COGECOM"/>
    <n v="16893979"/>
    <s v="CLEOMARIA GOMES DOS SANTOS"/>
    <s v="OUT"/>
    <s v="OUTROS"/>
    <n v="56104936172"/>
    <x v="0"/>
    <s v="266.69"/>
    <s v="53.54"/>
    <n v="379"/>
    <s v="AG RESPOSTA 1º CONTATO"/>
    <s v="ENVIADO MSG/E-MAIL 1º CONTATO"/>
    <n v="2"/>
    <x v="8"/>
    <s v="15.54"/>
    <s v="l.quadros"/>
    <s v="Acima de 361"/>
    <s v="ACIONAMENTO"/>
    <x v="4"/>
  </r>
  <r>
    <s v="COGECOM"/>
    <n v="10008553589"/>
    <s v="DEBORA GOMES DA SILVA"/>
    <s v="OUT"/>
    <s v="OUTROS"/>
    <n v="93353448187"/>
    <x v="1"/>
    <s v="218.75"/>
    <s v="30.76"/>
    <n v="170"/>
    <s v="ACORDO VIGENTE COLCHÃO EM DIA"/>
    <s v="ALTERACAO DEBITO"/>
    <n v="12"/>
    <x v="8"/>
    <s v="12.22"/>
    <s v="elizabel"/>
    <s v="91 a 180"/>
    <s v="ACIONAMENTO"/>
    <x v="2"/>
  </r>
  <r>
    <s v="COGECOM"/>
    <n v="2979152"/>
    <s v="DEVANIR APARECIDA RODRIGUES"/>
    <s v="OUT"/>
    <s v="OUTROS"/>
    <n v="2786349907"/>
    <x v="0"/>
    <s v="877.82"/>
    <s v="63.20"/>
    <n v="533"/>
    <s v="NÃO LOCALIZADO"/>
    <s v="TELEFONES SEM ATENDIMENTO"/>
    <n v="2"/>
    <x v="8"/>
    <s v="14.42"/>
    <s v="gleise"/>
    <s v="Acima de 361"/>
    <s v="ACIONAMENTO"/>
    <x v="0"/>
  </r>
  <r>
    <s v="COGECOM"/>
    <n v="3090942970"/>
    <s v="DIEGO BOLZE CIGOLINI"/>
    <s v="OUT"/>
    <s v="OUTROS"/>
    <n v="1228578010"/>
    <x v="0"/>
    <s v="1609.42"/>
    <s v="289.76"/>
    <n v="234"/>
    <s v="NÃO LOCALIZADO"/>
    <s v="TELEFONES SEM ATENDIMENTO"/>
    <n v="2"/>
    <x v="8"/>
    <s v="13.41"/>
    <s v="gleise"/>
    <s v="181 a 360"/>
    <s v="ACIONAMENTO"/>
    <x v="0"/>
  </r>
  <r>
    <s v="COGECOM"/>
    <n v="15632100"/>
    <s v="DIONES ANTONIO BARBOSA FERREIRA"/>
    <s v="OUT"/>
    <s v="OUTROS"/>
    <n v="8748885657"/>
    <x v="0"/>
    <s v="1067.03"/>
    <s v="405.40"/>
    <n v="822"/>
    <s v="NÃO LOCALIZADO"/>
    <s v="TELEFONES SEM ATENDIMENTO"/>
    <n v="2"/>
    <x v="8"/>
    <s v="13.42"/>
    <s v="gleise"/>
    <s v="Acima de 361"/>
    <s v="ACIONAMENTO"/>
    <x v="0"/>
  </r>
  <r>
    <s v="COGECOM"/>
    <n v="12968626"/>
    <s v="EDUARDO FILEMON BERNARD II"/>
    <s v="OUT"/>
    <s v="OUTROS"/>
    <n v="98265822120"/>
    <x v="0"/>
    <s v="456.75"/>
    <s v="154.47"/>
    <n v="301"/>
    <m/>
    <s v="SOLICITAR EXTINÇÃO DA AÇÃO"/>
    <n v="9999"/>
    <x v="8"/>
    <s v="13.43"/>
    <s v="gleise"/>
    <s v="181 a 360"/>
    <s v="ACIONAMENTO"/>
    <x v="4"/>
  </r>
  <r>
    <s v="COGECOM"/>
    <n v="3006255472"/>
    <s v="ELIANE CRISTINA DA   SILVA COUTO"/>
    <s v="OUT"/>
    <s v="OUTROS"/>
    <n v="4220584676"/>
    <x v="0"/>
    <s v="255.04"/>
    <s v="129.07"/>
    <n v="370"/>
    <s v="NÃO LOCALIZADO"/>
    <s v="TELEFONES SEM ATENDIMENTO"/>
    <n v="2"/>
    <x v="8"/>
    <s v="10.25"/>
    <s v="gleise"/>
    <s v="Acima de 361"/>
    <s v="ACIONAMENTO"/>
    <x v="0"/>
  </r>
  <r>
    <s v="COGECOM"/>
    <n v="95614001"/>
    <s v="ELLEN ALVES DEL CONTI"/>
    <s v="OUT"/>
    <s v="OUTROS"/>
    <n v="5982020990"/>
    <x v="0"/>
    <s v="1273.55"/>
    <s v="208.72"/>
    <n v="528"/>
    <s v="NÃO LOCALIZADO"/>
    <s v="TELEFONES SEM ATENDIMENTO"/>
    <n v="2"/>
    <x v="8"/>
    <s v="10.55"/>
    <s v="gleise"/>
    <s v="Acima de 361"/>
    <s v="ACIONAMENTO"/>
    <x v="0"/>
  </r>
  <r>
    <s v="COGECOM"/>
    <n v="3095419623"/>
    <s v="FABIANO DOS SANTOS"/>
    <s v="OUT"/>
    <s v="OUTROS"/>
    <n v="91727693000"/>
    <x v="0"/>
    <s v="1284.36"/>
    <s v="514.97"/>
    <n v="478"/>
    <s v="NÃO LOCALIZADO"/>
    <s v="TELEFONES SEM ATENDIMENTO"/>
    <n v="2"/>
    <x v="8"/>
    <s v="9.31"/>
    <s v="gleise"/>
    <s v="Acima de 361"/>
    <s v="ACIONAMENTO"/>
    <x v="0"/>
  </r>
  <r>
    <s v="COGECOM"/>
    <n v="52587336"/>
    <s v="FABIO OTTE"/>
    <s v="OUT"/>
    <s v="OUTROS"/>
    <n v="89639774987"/>
    <x v="1"/>
    <s v="0.00"/>
    <s v="201.56"/>
    <n v="556"/>
    <s v="EM NEGOCIAÇÃO"/>
    <s v="ALTERACAO DEBITO"/>
    <n v="15"/>
    <x v="8"/>
    <s v="12.18"/>
    <s v="elizabel"/>
    <s v="Acima de 361"/>
    <s v="ACIONAMENTO"/>
    <x v="2"/>
  </r>
  <r>
    <s v="COGECOM"/>
    <n v="3005015246"/>
    <s v="FELIPE AGUIAR MOREIRA"/>
    <s v="OUT"/>
    <s v="OUTROS"/>
    <n v="9569374624"/>
    <x v="0"/>
    <s v="353.84"/>
    <s v="127.33"/>
    <n v="437"/>
    <s v="AG RESPOSTA 1º CONTATO"/>
    <s v="ENVIADO MSG/E-MAIL 1º CONTATO"/>
    <n v="2"/>
    <x v="8"/>
    <s v="9.53"/>
    <s v="l.quadros"/>
    <s v="Acima de 361"/>
    <s v="ACIONAMENTO"/>
    <x v="4"/>
  </r>
  <r>
    <s v="COGECOM"/>
    <n v="1718991"/>
    <s v="GARCIA LANCHES LTDA"/>
    <s v="OUT"/>
    <s v="OUTROS"/>
    <n v="22563769000150"/>
    <x v="0"/>
    <s v="4649.11"/>
    <s v="2347.09"/>
    <n v="1304"/>
    <s v="NÃO LOCALIZADO"/>
    <s v="TELEFONES SEM ATENDIMENTO"/>
    <n v="2"/>
    <x v="8"/>
    <s v="11.22"/>
    <s v="gleise"/>
    <s v="Acima de 361"/>
    <s v="ACIONAMENTO"/>
    <x v="0"/>
  </r>
  <r>
    <s v="COGECOM"/>
    <n v="10027541647"/>
    <s v="GILBERTO CANDIDO CARVALHO"/>
    <s v="OUT"/>
    <s v="OUTROS"/>
    <n v="72301414353"/>
    <x v="0"/>
    <s v="6411.33"/>
    <s v="684.94"/>
    <n v="195"/>
    <s v="AG RESPOSTA 1º CONTATO"/>
    <s v="ENVIADO MSG/E-MAIL 1º CONTATO"/>
    <n v="2"/>
    <x v="8"/>
    <s v="17.27"/>
    <s v="l.quadros"/>
    <s v="181 a 360"/>
    <s v="ACIONAMENTO"/>
    <x v="4"/>
  </r>
  <r>
    <s v="COGECOM"/>
    <n v="3081695871"/>
    <s v="GUILHERME LIMA PELLENZ"/>
    <s v="OUT"/>
    <s v="OUTROS"/>
    <n v="22572899000"/>
    <x v="0"/>
    <s v="427.63"/>
    <s v="226.55"/>
    <n v="329"/>
    <s v="SEM INTERESSE"/>
    <s v="NEGOCIAÇÃO VIA TELEFONE"/>
    <n v="2"/>
    <x v="8"/>
    <s v="13.51"/>
    <s v="gleise"/>
    <s v="181 a 360"/>
    <s v="CPC"/>
    <x v="1"/>
  </r>
  <r>
    <s v="COGECOM"/>
    <n v="44452138"/>
    <s v="JOAO GUILHERME COELHO"/>
    <s v="OUT"/>
    <s v="OUTROS"/>
    <n v="6890975901"/>
    <x v="0"/>
    <s v="844.01"/>
    <s v="151.38"/>
    <n v="203"/>
    <s v="NÃO LOCALIZADO"/>
    <s v="TELEFONES SEM ATENDIMENTO"/>
    <n v="2"/>
    <x v="8"/>
    <s v="11.09"/>
    <s v="gleise"/>
    <s v="181 a 360"/>
    <s v="ACIONAMENTO"/>
    <x v="0"/>
  </r>
  <r>
    <s v="COGECOM"/>
    <n v="58198318"/>
    <s v="JOAO PAULO DE OLIVEIRA BUENO"/>
    <s v="OUT"/>
    <s v="OUTROS"/>
    <n v="6715313601"/>
    <x v="0"/>
    <s v="350.10"/>
    <s v="36.63"/>
    <n v="701"/>
    <s v="NÃO LOCALIZADO"/>
    <s v="TELEFONES SEM ATENDIMENTO"/>
    <n v="2"/>
    <x v="8"/>
    <s v="14.44"/>
    <s v="gleise"/>
    <s v="Acima de 361"/>
    <s v="ACIONAMENTO"/>
    <x v="0"/>
  </r>
  <r>
    <s v="COGECOM"/>
    <n v="4002725472"/>
    <s v="JONAS DA SILVA DE JESUS"/>
    <s v="OUT"/>
    <s v="OUTROS"/>
    <n v="83520406004"/>
    <x v="0"/>
    <s v="711.22"/>
    <s v="237.39"/>
    <n v="564"/>
    <s v="NÃO LOCALIZADO"/>
    <s v="TELEFONES SEM ATENDIMENTO"/>
    <n v="2"/>
    <x v="8"/>
    <s v="11.55"/>
    <s v="gleise"/>
    <s v="Acima de 361"/>
    <s v="ACIONAMENTO"/>
    <x v="0"/>
  </r>
  <r>
    <s v="COGECOM"/>
    <n v="87857243"/>
    <s v="JOZIANE DE SOUZA"/>
    <s v="OUT"/>
    <s v="OUTROS"/>
    <n v="85867586987"/>
    <x v="0"/>
    <s v="936.31"/>
    <s v="124.56"/>
    <n v="390"/>
    <s v="NÃO LOCALIZADO"/>
    <s v="SOLICITAR EXTINÇÃO DA AÇÃO"/>
    <n v="8"/>
    <x v="8"/>
    <s v="13.58"/>
    <s v="gleise"/>
    <s v="Acima de 361"/>
    <s v="ACIONAMENTO"/>
    <x v="0"/>
  </r>
  <r>
    <s v="COGECOM"/>
    <n v="39701964"/>
    <s v="LAERCIO ROCHELLE ROCHA"/>
    <s v="OUT"/>
    <s v="OUTROS"/>
    <n v="66642957920"/>
    <x v="0"/>
    <s v="129.20"/>
    <s v="75.23"/>
    <n v="490"/>
    <s v="SEM INTERESSE"/>
    <s v="NEGOCIAÇÃO VIA TELEFONE"/>
    <n v="2"/>
    <x v="8"/>
    <s v="16.49"/>
    <s v="gleise"/>
    <s v="Acima de 361"/>
    <s v="CPC"/>
    <x v="1"/>
  </r>
  <r>
    <s v="COGECOM"/>
    <n v="45092313"/>
    <s v="LAION MORAES PIANEZZER"/>
    <s v="OUT"/>
    <s v="OUTROS"/>
    <n v="9453511943"/>
    <x v="0"/>
    <s v="181.49"/>
    <s v="86.72"/>
    <n v="497"/>
    <s v="NÃO LOCALIZADO"/>
    <s v="TELEFONES SEM ATENDIMENTO"/>
    <n v="2"/>
    <x v="8"/>
    <s v="13.20"/>
    <s v="gleise"/>
    <s v="Acima de 361"/>
    <s v="ACIONAMENTO"/>
    <x v="0"/>
  </r>
  <r>
    <s v="COGECOM"/>
    <n v="20406852"/>
    <s v="LEANDRO TABORDA RAMOS"/>
    <s v="OUT"/>
    <s v="OUTROS"/>
    <n v="4753422917"/>
    <x v="0"/>
    <s v="258.77"/>
    <s v="258.77"/>
    <n v="217"/>
    <s v="NÃO LOCALIZADO"/>
    <s v="TELEFONES SEM ATENDIMENTO"/>
    <n v="2"/>
    <x v="8"/>
    <s v="17.07"/>
    <s v="gleise"/>
    <s v="181 a 360"/>
    <s v="ACIONAMENTO"/>
    <x v="0"/>
  </r>
  <r>
    <s v="COGECOM"/>
    <n v="10012094755"/>
    <s v="LORENA FERREIRA JESUS"/>
    <s v="OUT"/>
    <s v="OUTROS"/>
    <n v="3844112154"/>
    <x v="0"/>
    <s v="121.62"/>
    <s v="55.90"/>
    <n v="172"/>
    <s v="AG RESPOSTA 1º CONTATO"/>
    <s v="ENVIADO MSG/E-MAIL 1º CONTATO"/>
    <n v="2"/>
    <x v="8"/>
    <s v="16.13"/>
    <s v="l.quadros"/>
    <s v="91 a 180"/>
    <s v="ACIONAMENTO"/>
    <x v="4"/>
  </r>
  <r>
    <s v="COGECOM"/>
    <n v="68851073"/>
    <s v="MARCELO RODRIGUES"/>
    <s v="OUT"/>
    <s v="OUTROS"/>
    <n v="3018020928"/>
    <x v="0"/>
    <s v="1935.71"/>
    <s v="658.86"/>
    <n v="619"/>
    <s v="NÃO LOCALIZADO"/>
    <s v="TELEFONES SEM ATENDIMENTO"/>
    <n v="2"/>
    <x v="8"/>
    <s v="17.02"/>
    <s v="gleise"/>
    <s v="Acima de 361"/>
    <s v="ACIONAMENTO"/>
    <x v="0"/>
  </r>
  <r>
    <s v="COGECOM"/>
    <n v="3003587468"/>
    <s v="MARIA APARECIDA DE SOUZA"/>
    <s v="OUT"/>
    <s v="OUTROS"/>
    <n v="75350203649"/>
    <x v="0"/>
    <s v="896.67"/>
    <s v="164.32"/>
    <n v="276"/>
    <s v="NÃO LOCALIZADO"/>
    <s v="TELEFONES SEM ATENDIMENTO"/>
    <n v="2"/>
    <x v="8"/>
    <s v="16.35"/>
    <s v="gleise"/>
    <s v="181 a 360"/>
    <s v="ACIONAMENTO"/>
    <x v="0"/>
  </r>
  <r>
    <s v="COGECOM"/>
    <n v="3010408750"/>
    <s v="MARIA CAROLINA SANTANA BATISTA"/>
    <s v="OUT"/>
    <s v="OUTROS"/>
    <n v="13186465613"/>
    <x v="0"/>
    <s v="321.14"/>
    <s v="126.63"/>
    <n v="277"/>
    <m/>
    <s v="SOLICITAR EXTINÇÃO DA AÇÃO"/>
    <n v="9999"/>
    <x v="8"/>
    <s v="14.09"/>
    <s v="anakeppe"/>
    <s v="181 a 360"/>
    <s v="ACIONAMENTO"/>
    <x v="4"/>
  </r>
  <r>
    <s v="COGECOM"/>
    <n v="44185946"/>
    <s v="MARIELLY CAROLINE BLANSKI"/>
    <s v="OUT"/>
    <s v="OUTROS"/>
    <n v="8950888947"/>
    <x v="0"/>
    <s v="91.54"/>
    <s v="91.54"/>
    <n v="518"/>
    <m/>
    <s v="SOLICITAR EXTINÇÃO DA AÇÃO"/>
    <n v="9999"/>
    <x v="8"/>
    <s v="14.11"/>
    <s v="anakeppe"/>
    <s v="Acima de 361"/>
    <s v="ACIONAMENTO"/>
    <x v="4"/>
  </r>
  <r>
    <s v="COGECOM"/>
    <n v="3000139571"/>
    <s v="NATANNIEL LUCIANO LEITE"/>
    <s v="OUT"/>
    <s v="OUTROS"/>
    <n v="11138295671"/>
    <x v="0"/>
    <s v="1324.48"/>
    <s v="138.94"/>
    <n v="276"/>
    <s v="NÃO LOCALIZADO"/>
    <s v="TELEFONES SEM ATENDIMENTO"/>
    <n v="2"/>
    <x v="8"/>
    <s v="10.23"/>
    <s v="gleise"/>
    <s v="181 a 360"/>
    <s v="ACIONAMENTO"/>
    <x v="0"/>
  </r>
  <r>
    <s v="COGECOM"/>
    <n v="48385532"/>
    <s v="NELITO PLINIO GOEDERT"/>
    <s v="OUT"/>
    <s v="OUTROS"/>
    <n v="8358113951"/>
    <x v="0"/>
    <s v="8791.59"/>
    <s v="641.27"/>
    <n v="415"/>
    <s v="NÃO LOCALIZADO"/>
    <s v="TELEFONES SEM ATENDIMENTO"/>
    <n v="2"/>
    <x v="8"/>
    <s v="11.36"/>
    <s v="gleise"/>
    <s v="Acima de 361"/>
    <s v="ACIONAMENTO"/>
    <x v="0"/>
  </r>
  <r>
    <s v="COGECOM"/>
    <n v="14966293"/>
    <s v="NERCI RIBEIRO DE SOUZA RODRIGUES"/>
    <s v="OUT"/>
    <s v="OUTROS"/>
    <n v="32312334100"/>
    <x v="0"/>
    <s v="1591.00"/>
    <s v="162.70"/>
    <n v="273"/>
    <s v="SEM INTERESSE"/>
    <s v="NEGOCIAÇÃO VIA TELEFONE"/>
    <n v="2"/>
    <x v="8"/>
    <s v="14.18"/>
    <s v="gleise"/>
    <s v="181 a 360"/>
    <s v="CPC"/>
    <x v="1"/>
  </r>
  <r>
    <s v="COGECOM"/>
    <n v="33323828"/>
    <s v="OSVALDIR JOSÉ CULPI"/>
    <s v="OUT"/>
    <s v="OUTROS"/>
    <n v="54418496904"/>
    <x v="0"/>
    <s v="4542.61"/>
    <s v="1541.98"/>
    <n v="1405"/>
    <s v="NÃO LOCALIZADO"/>
    <s v="TELEFONES SEM ATENDIMENTO"/>
    <n v="2"/>
    <x v="8"/>
    <s v="11.23"/>
    <s v="gleise"/>
    <s v="Acima de 361"/>
    <s v="ACIONAMENTO"/>
    <x v="0"/>
  </r>
  <r>
    <s v="COGECOM"/>
    <n v="43376403"/>
    <s v="PASTELÍSSIMO RESTAURANTES LTDA"/>
    <s v="OUT"/>
    <s v="OUTROS"/>
    <n v="30013749000134"/>
    <x v="0"/>
    <s v="1401.00"/>
    <s v="1401.00"/>
    <n v="1024"/>
    <s v="NÃO LOCALIZADO"/>
    <s v="TELEFONES SEM ATENDIMENTO"/>
    <n v="2"/>
    <x v="8"/>
    <s v="16.10"/>
    <s v="gleise"/>
    <s v="Acima de 361"/>
    <s v="ACIONAMENTO"/>
    <x v="0"/>
  </r>
  <r>
    <s v="COGECOM"/>
    <n v="3006699223"/>
    <s v="PRISCILA SILVA E LOPES"/>
    <s v="OUT"/>
    <s v="OUTROS"/>
    <n v="93735294634"/>
    <x v="0"/>
    <s v="100.45"/>
    <s v="143.67"/>
    <n v="274"/>
    <s v="NÃO LOCALIZADO"/>
    <s v="TELEFONES SEM ATENDIMENTO"/>
    <n v="2"/>
    <x v="8"/>
    <s v="13.18"/>
    <s v="gleise"/>
    <s v="181 a 360"/>
    <s v="ACIONAMENTO"/>
    <x v="0"/>
  </r>
  <r>
    <s v="COGECOM"/>
    <n v="3085124828"/>
    <s v="RADIO PRATA SA"/>
    <s v="OUT"/>
    <s v="OUTROS"/>
    <n v="88990882000120"/>
    <x v="0"/>
    <s v="881.00"/>
    <s v="881.00"/>
    <n v="546"/>
    <s v="SEM INTERESSE"/>
    <s v="NEGOCIAÇÃO VIA TELEFONE"/>
    <n v="2"/>
    <x v="8"/>
    <s v="10.44"/>
    <s v="gleise"/>
    <s v="Acima de 361"/>
    <s v="CPC"/>
    <x v="1"/>
  </r>
  <r>
    <s v="COGECOM"/>
    <n v="105785431"/>
    <s v="RAFAEL DOMINGUES PEREIRA"/>
    <s v="OUT"/>
    <s v="OUTROS"/>
    <n v="8943313969"/>
    <x v="0"/>
    <s v="844.55"/>
    <s v="202.97"/>
    <n v="344"/>
    <s v="AG RESPOSTA 1º CONTATO"/>
    <s v="ENVIADO MSG/E-MAIL 1º CONTATO"/>
    <n v="2"/>
    <x v="8"/>
    <s v="10.11"/>
    <s v="l.quadros"/>
    <s v="181 a 360"/>
    <s v="ACIONAMENTO"/>
    <x v="4"/>
  </r>
  <r>
    <s v="COGECOM"/>
    <n v="13031892"/>
    <s v="RUBIA ITAGIBA FRANCA"/>
    <s v="OUT"/>
    <s v="OUTROS"/>
    <n v="89262832168"/>
    <x v="0"/>
    <s v="399.11"/>
    <s v="48.86"/>
    <n v="268"/>
    <s v="NÃO LOCALIZADO"/>
    <s v="TELEFONES SEM ATENDIMENTO"/>
    <n v="2"/>
    <x v="8"/>
    <s v="10.36"/>
    <s v="gleise"/>
    <s v="181 a 360"/>
    <s v="ACIONAMENTO"/>
    <x v="0"/>
  </r>
  <r>
    <s v="COGECOM"/>
    <n v="3011641550"/>
    <s v="SIMONE LINA MIRANDA"/>
    <s v="OUT"/>
    <s v="OUTROS"/>
    <n v="7163086652"/>
    <x v="0"/>
    <s v="596.55"/>
    <s v="14.90"/>
    <n v="284"/>
    <s v="NÃO LOCALIZADO"/>
    <s v="TELEFONES SEM ATENDIMENTO"/>
    <n v="2"/>
    <x v="8"/>
    <s v="14.25"/>
    <s v="gleise"/>
    <s v="181 a 360"/>
    <s v="ACIONAMENTO"/>
    <x v="0"/>
  </r>
  <r>
    <s v="COGECOM"/>
    <n v="103699627"/>
    <s v="VALTER LUCIANO DE SOUZA"/>
    <s v="OUT"/>
    <s v="OUTROS"/>
    <n v="8281011912"/>
    <x v="0"/>
    <s v="658.37"/>
    <s v="378.87"/>
    <n v="378"/>
    <s v="EM NEGOCIAÇÃO"/>
    <s v="NEGOCIAÇÃO VIA WHATSAPP"/>
    <n v="2"/>
    <x v="8"/>
    <s v="14.37"/>
    <s v="l.quadros"/>
    <s v="Acima de 361"/>
    <s v="CPC"/>
    <x v="2"/>
  </r>
  <r>
    <s v="COGECOM"/>
    <n v="105286443"/>
    <s v="VANDERLEI NERIS DOS SANTOS"/>
    <s v="OUT"/>
    <s v="OUTROS"/>
    <n v="65354842115"/>
    <x v="0"/>
    <s v="470.17"/>
    <s v="95.66"/>
    <n v="462"/>
    <s v="NÃO LOCALIZADO"/>
    <s v="TELEFONES SEM ATENDIMENTO"/>
    <n v="2"/>
    <x v="8"/>
    <s v="10.31"/>
    <s v="gleise"/>
    <s v="Acima de 361"/>
    <s v="ACIONAMENTO"/>
    <x v="0"/>
  </r>
  <r>
    <s v="COGECOM"/>
    <n v="105082457"/>
    <s v="VERIDIANA TEREZA GIOLLO"/>
    <s v="OUT"/>
    <s v="OUTROS"/>
    <n v="571578985"/>
    <x v="0"/>
    <s v="1902.14"/>
    <s v="271.33"/>
    <n v="487"/>
    <s v="NÃO LOCALIZADO"/>
    <s v="TELEFONES SEM ATENDIMENTO"/>
    <n v="2"/>
    <x v="8"/>
    <s v="11.53"/>
    <s v="gleise"/>
    <s v="Acima de 361"/>
    <s v="ACIONAMENTO"/>
    <x v="0"/>
  </r>
  <r>
    <s v="COGECOM"/>
    <n v="10000073880"/>
    <s v="FERNANDA ALVES DE CARVALHO GOMES"/>
    <s v="OUT"/>
    <s v="OUTROS"/>
    <n v="77725905120"/>
    <x v="0"/>
    <s v="138.15"/>
    <s v="138.15"/>
    <n v="191"/>
    <s v="NÃO LOCALIZADO"/>
    <s v="TELEFONES SEM ATENDIMENTO"/>
    <n v="2"/>
    <x v="8"/>
    <s v="16.37"/>
    <s v="gleise"/>
    <s v="181 a 360"/>
    <s v="ACIONAMENTO"/>
    <x v="0"/>
  </r>
  <r>
    <s v="COGECOM"/>
    <n v="13870518"/>
    <s v="DANIEL SANTOS NETTO DA SILVA"/>
    <s v="OUT"/>
    <s v="OUTROS"/>
    <n v="1982040190"/>
    <x v="0"/>
    <s v="561.10"/>
    <s v="244.29"/>
    <n v="171"/>
    <s v="SEM INTERESSE"/>
    <s v="NEGOCIAÇÃO VIA TELEFONE"/>
    <n v="2"/>
    <x v="8"/>
    <s v="13.23"/>
    <s v="gleise"/>
    <s v="91 a 180"/>
    <s v="CPC"/>
    <x v="1"/>
  </r>
  <r>
    <s v="COGECOM"/>
    <n v="13270540"/>
    <s v="KEUVINY HENRIQUE GONDIM SILVEIRA"/>
    <s v="OUT"/>
    <s v="OUTROS"/>
    <n v="3335661141"/>
    <x v="0"/>
    <s v="331.46"/>
    <s v="111.42"/>
    <n v="169"/>
    <s v="NÃO LOCALIZADO"/>
    <s v="TELEFONES SEM ATENDIMENTO"/>
    <n v="2"/>
    <x v="8"/>
    <s v="14.39"/>
    <s v="gleise"/>
    <s v="91 a 180"/>
    <s v="ACIONAMENTO"/>
    <x v="0"/>
  </r>
  <r>
    <s v="COGECOM"/>
    <n v="220062201"/>
    <s v="THAYS PINHEIRO RODRIGUES SIQUEIRA"/>
    <s v="OUT"/>
    <s v="OUTROS"/>
    <n v="93752954191"/>
    <x v="0"/>
    <s v="11298.13"/>
    <s v="324.47"/>
    <n v="248"/>
    <s v="AG RESPOSTA 1º CONTATO"/>
    <s v="ENVIADO MSG/E-MAIL 1º CONTATO"/>
    <n v="2"/>
    <x v="8"/>
    <s v="17.35"/>
    <s v="l.quadros"/>
    <s v="181 a 360"/>
    <s v="ACIONAMENTO"/>
    <x v="4"/>
  </r>
  <r>
    <s v="COGECOM"/>
    <n v="4001539359"/>
    <s v="LUCAS BRAVO DE OLIVEIRA"/>
    <s v="OUT"/>
    <s v="OUTROS"/>
    <n v="509673040"/>
    <x v="0"/>
    <s v="2857.83"/>
    <s v="481.16"/>
    <n v="186"/>
    <s v="NÃO LOCALIZADO"/>
    <s v="TELEFONES SEM ATENDIMENTO"/>
    <n v="2"/>
    <x v="8"/>
    <s v="16.24"/>
    <s v="gleise"/>
    <s v="181 a 360"/>
    <s v="ACIONAMENTO"/>
    <x v="0"/>
  </r>
  <r>
    <s v="COGECOM"/>
    <n v="18297361"/>
    <s v="LUCIA ZERGER SOUSA"/>
    <s v="OUT"/>
    <s v="OUTROS"/>
    <n v="38293153920"/>
    <x v="0"/>
    <s v="557.86"/>
    <s v="321.84"/>
    <n v="164"/>
    <s v="NÃO LOCALIZADO"/>
    <s v="TELEFONES SEM ATENDIMENTO"/>
    <n v="2"/>
    <x v="8"/>
    <s v="9.44"/>
    <s v="gleise"/>
    <s v="91 a 180"/>
    <s v="ACIONAMENTO"/>
    <x v="0"/>
  </r>
  <r>
    <s v="COGECOM"/>
    <n v="3005304968"/>
    <s v="JAIRO PINHEIRO DO AMARAL"/>
    <s v="OUT"/>
    <s v="OUTROS"/>
    <n v="1139541668"/>
    <x v="0"/>
    <s v="292.30"/>
    <s v="54.87"/>
    <n v="150"/>
    <s v="NÃO LOCALIZADO"/>
    <s v="TELEFONES SEM ATENDIMENTO"/>
    <n v="2"/>
    <x v="8"/>
    <s v="14.47"/>
    <s v="gleise"/>
    <s v="91 a 180"/>
    <s v="ACIONAMENTO"/>
    <x v="0"/>
  </r>
  <r>
    <s v="COGECOM"/>
    <n v="85692174"/>
    <s v="GYSLAINE DA ROSA FUKUSHIMA FIGUEREDO RESTAURANTE ME"/>
    <s v="OUT"/>
    <s v="OUTROS"/>
    <n v="15232728000116"/>
    <x v="0"/>
    <s v="9538.52"/>
    <s v="2950.86"/>
    <n v="185"/>
    <s v="NÃO LOCALIZADO"/>
    <s v="TELEFONES SEM ATENDIMENTO"/>
    <n v="2"/>
    <x v="8"/>
    <s v="14.59"/>
    <s v="gleise"/>
    <s v="181 a 360"/>
    <s v="ACIONAMENTO"/>
    <x v="0"/>
  </r>
  <r>
    <s v="COGECOM"/>
    <n v="58978690"/>
    <s v="WONKA BAR LTDA"/>
    <s v="OUT"/>
    <s v="OUTROS"/>
    <n v="8853790000160"/>
    <x v="0"/>
    <s v="7166.66"/>
    <s v="1670.94"/>
    <n v="185"/>
    <s v="NÃO LOCALIZADO"/>
    <s v="TELEFONES SEM ATENDIMENTO"/>
    <n v="2"/>
    <x v="8"/>
    <s v="16.09"/>
    <s v="gleise"/>
    <s v="181 a 360"/>
    <s v="ACIONAMENTO"/>
    <x v="0"/>
  </r>
  <r>
    <s v="COGECOM"/>
    <n v="96110961"/>
    <s v="ELLEN QUEIROZ RODRIGUES"/>
    <s v="OUT"/>
    <s v="OUTROS"/>
    <n v="6152249970"/>
    <x v="0"/>
    <s v="476.45"/>
    <s v="320.30"/>
    <n v="130"/>
    <s v="SEM INTERESSE"/>
    <s v="NEGOCIAÇÃO VIA TELEFONE"/>
    <n v="2"/>
    <x v="8"/>
    <s v="11.20"/>
    <s v="anakeppe"/>
    <s v="91 a 180"/>
    <s v="CPC"/>
    <x v="1"/>
  </r>
  <r>
    <s v="COGECOM"/>
    <n v="17361620"/>
    <s v="NILSON CARDOSO AMARAL JUNIOR"/>
    <s v="OUT"/>
    <s v="OUTROS"/>
    <n v="53928695134"/>
    <x v="0"/>
    <s v="298.72"/>
    <s v="298.72"/>
    <n v="143"/>
    <s v="NÃO LOCALIZADO"/>
    <s v="TELEFONES SEM ATENDIMENTO"/>
    <n v="2"/>
    <x v="8"/>
    <s v="10.53"/>
    <s v="gleise"/>
    <s v="91 a 180"/>
    <s v="ACIONAMENTO"/>
    <x v="0"/>
  </r>
  <r>
    <s v="COGECOM"/>
    <n v="77789210"/>
    <s v="ILA CARNEIRO REZENDE LIMA"/>
    <s v="OUT"/>
    <s v="OUTROS"/>
    <n v="28011287591"/>
    <x v="0"/>
    <s v="668.34"/>
    <s v="263.79"/>
    <n v="131"/>
    <s v="NÃO LOCALIZADO"/>
    <s v="TELEFONES SEM ATENDIMENTO"/>
    <n v="2"/>
    <x v="8"/>
    <s v="14.54"/>
    <s v="gleise"/>
    <s v="91 a 180"/>
    <s v="ACIONAMENTO"/>
    <x v="0"/>
  </r>
  <r>
    <s v="COGECOM"/>
    <n v="63423014"/>
    <s v="ANTONIA MARIA DA SILVA"/>
    <s v="OUT"/>
    <s v="OUTROS"/>
    <n v="95488294953"/>
    <x v="0"/>
    <s v="248.69"/>
    <s v="206.35"/>
    <n v="125"/>
    <s v="EM NEGOCIAÇÃO"/>
    <s v="NEGOCIAÇÃO VIA WHATSAPP"/>
    <n v="2"/>
    <x v="8"/>
    <s v="11.40"/>
    <s v="l.quadros"/>
    <s v="91 a 180"/>
    <s v="CPC"/>
    <x v="2"/>
  </r>
  <r>
    <s v="COGECOM"/>
    <n v="1550017242"/>
    <s v="LAURENCA LOPES DO NASCIMENTO"/>
    <s v="OUT"/>
    <s v="OUTROS"/>
    <n v="98333119115"/>
    <x v="0"/>
    <s v="651.36"/>
    <s v="172.21"/>
    <n v="141"/>
    <s v="NÃO LOCALIZADO"/>
    <s v="TELEFONES SEM ATENDIMENTO"/>
    <n v="2"/>
    <x v="8"/>
    <s v="13.02"/>
    <s v="gleise"/>
    <s v="91 a 180"/>
    <s v="ACIONAMENTO"/>
    <x v="0"/>
  </r>
  <r>
    <s v="COGECOM"/>
    <n v="10028775170"/>
    <s v="GEOVANNA BORGES DE OLIVEIRA"/>
    <s v="OUT"/>
    <s v="OUTROS"/>
    <n v="70029584108"/>
    <x v="1"/>
    <s v="0.00"/>
    <s v="112.07"/>
    <n v="136"/>
    <s v="NÃO LOCALIZADO"/>
    <s v="ESTORNO"/>
    <n v="23"/>
    <x v="8"/>
    <s v="15.17"/>
    <s v="luciano"/>
    <s v="91 a 180"/>
    <s v="ACIONAMENTO"/>
    <x v="0"/>
  </r>
  <r>
    <s v="COGECOM"/>
    <n v="3001839858"/>
    <s v="NEWTON LUIZ CASSIO DA CRUZ"/>
    <s v="OUT"/>
    <s v="OUTROS"/>
    <n v="54419336668"/>
    <x v="0"/>
    <s v="348.20"/>
    <s v="96.93"/>
    <n v="135"/>
    <s v="AG RESPOSTA 1º CONTATO"/>
    <s v="ENVIADO MSG/E-MAIL 1º CONTATO"/>
    <n v="2"/>
    <x v="8"/>
    <s v="14.44"/>
    <s v="l.quadros"/>
    <s v="91 a 180"/>
    <s v="ACIONAMENTO"/>
    <x v="4"/>
  </r>
  <r>
    <s v="COGECOM"/>
    <n v="3082917666"/>
    <s v="FABRICIO GRAZZIOTIN"/>
    <s v="OUT"/>
    <s v="OUTROS"/>
    <n v="68933967087"/>
    <x v="0"/>
    <s v="3355.40"/>
    <s v="254.98"/>
    <n v="273"/>
    <s v="SEM INTERESSE"/>
    <s v="NEGOCIAÇÃO VIA TELEFONE"/>
    <n v="2"/>
    <x v="8"/>
    <s v="13.16"/>
    <s v="anakeppe"/>
    <s v="181 a 360"/>
    <s v="CPC"/>
    <x v="1"/>
  </r>
  <r>
    <s v="COGECOM"/>
    <n v="38387115"/>
    <s v="LUCAS EDUARD FERMINO"/>
    <s v="OUT"/>
    <s v="OUTROS"/>
    <n v="7263747928"/>
    <x v="0"/>
    <s v="3059.98"/>
    <s v="870.60"/>
    <n v="93"/>
    <s v="NÃO LOCALIZADO"/>
    <s v="TELEFONES SEM ATENDIMENTO"/>
    <n v="2"/>
    <x v="8"/>
    <s v="16.17"/>
    <s v="gleise"/>
    <s v="91 a 180"/>
    <s v="ACIONAMENTO"/>
    <x v="0"/>
  </r>
  <r>
    <s v="COGECOM"/>
    <n v="78786886"/>
    <s v="CLEVERSON RODRIGUES DE ALMEIDA"/>
    <s v="OUT"/>
    <s v="OUTROS"/>
    <n v="5230346957"/>
    <x v="0"/>
    <s v="3066.58"/>
    <s v="966.73"/>
    <n v="96"/>
    <s v="NÃO LOCALIZADO"/>
    <s v="TELEFONES SEM ATENDIMENTO"/>
    <n v="2"/>
    <x v="8"/>
    <s v="16.16"/>
    <s v="gleise"/>
    <s v="91 a 180"/>
    <s v="ACIONAMENTO"/>
    <x v="0"/>
  </r>
  <r>
    <s v="COGECOM"/>
    <n v="3014495376"/>
    <s v="ALINE APARECIDA SANTOS SILVA"/>
    <s v="OUT"/>
    <s v="OUTROS"/>
    <n v="11411032659"/>
    <x v="0"/>
    <s v="317.03"/>
    <s v="106.53"/>
    <n v="96"/>
    <s v="NÃO LOCALIZADO"/>
    <s v="TELEFONES SEM ATENDIMENTO"/>
    <n v="2"/>
    <x v="8"/>
    <s v="13.15"/>
    <s v="gleise"/>
    <s v="91 a 180"/>
    <s v="ACIONAMENTO"/>
    <x v="0"/>
  </r>
  <r>
    <s v="COGECOM"/>
    <n v="3010270476"/>
    <s v="QUEZIA PAULA ROCHA DA CRUZ VALADARES"/>
    <s v="OUT"/>
    <s v="OUTROS"/>
    <n v="5680376695"/>
    <x v="1"/>
    <s v="300.22"/>
    <s v="106.82"/>
    <n v="96"/>
    <s v="SEM INTERESSE"/>
    <s v="NEGOCIAÇÃO VIA TELEFONE"/>
    <n v="2"/>
    <x v="8"/>
    <s v="9.34"/>
    <s v="anakeppe"/>
    <s v="91 a 180"/>
    <s v="CPC"/>
    <x v="1"/>
  </r>
  <r>
    <s v="COGECOM"/>
    <n v="19568673"/>
    <s v="JOAQUIM ADIR DA ROCHA"/>
    <s v="OUT"/>
    <s v="OUTROS"/>
    <n v="18432875953"/>
    <x v="0"/>
    <s v="1184.45"/>
    <s v="1184.45"/>
    <n v="168"/>
    <s v="NÃO LOCALIZADO"/>
    <s v="TELEFONES SEM ATENDIMENTO"/>
    <n v="2"/>
    <x v="8"/>
    <s v="16.15"/>
    <s v="gleise"/>
    <s v="91 a 180"/>
    <s v="ACIONAMENTO"/>
    <x v="0"/>
  </r>
  <r>
    <s v="COGECOM"/>
    <n v="18671832"/>
    <s v="DAVI PASSOLD"/>
    <s v="OUT"/>
    <s v="OUTROS"/>
    <n v="94235392972"/>
    <x v="0"/>
    <s v="574.05"/>
    <s v="574.05"/>
    <n v="147"/>
    <s v="NÃO LOCALIZADO"/>
    <s v="TELEFONES SEM ATENDIMENTO"/>
    <n v="2"/>
    <x v="8"/>
    <s v="11.38"/>
    <s v="gleise"/>
    <s v="91 a 180"/>
    <s v="ACIONAMENTO"/>
    <x v="0"/>
  </r>
  <r>
    <s v="COGECOM"/>
    <n v="3095309299"/>
    <s v="ROQUE AVELINO SULZBACH"/>
    <s v="OUT"/>
    <s v="OUTROS"/>
    <n v="48591068068"/>
    <x v="0"/>
    <s v="3438.01"/>
    <s v="1785.07"/>
    <n v="141"/>
    <s v="NÃO LOCALIZADO"/>
    <s v="TELEFONES SEM ATENDIMENTO"/>
    <n v="2"/>
    <x v="8"/>
    <s v="16.07"/>
    <s v="gleise"/>
    <s v="91 a 180"/>
    <s v="ACIONAMENTO"/>
    <x v="0"/>
  </r>
  <r>
    <s v="COGECOM"/>
    <n v="3095334123"/>
    <s v="RAFAEL VARGAS DOS SANTOS"/>
    <s v="OUT"/>
    <s v="OUTROS"/>
    <n v="747268037"/>
    <x v="0"/>
    <s v="466.77"/>
    <s v="145.54"/>
    <n v="116"/>
    <s v="NÃO LOCALIZADO"/>
    <s v="TELEFONES SEM ATENDIMENTO"/>
    <n v="2"/>
    <x v="8"/>
    <s v="16.36"/>
    <s v="gleise"/>
    <s v="91 a 180"/>
    <s v="ACIONAMENTO"/>
    <x v="0"/>
  </r>
  <r>
    <s v="COGECOM"/>
    <n v="10035661478"/>
    <s v="ANTONIO ALVES SOBRINHO NETO"/>
    <s v="OUT"/>
    <s v="OUTROS"/>
    <n v="1290778108"/>
    <x v="0"/>
    <s v="384.31"/>
    <s v="146.39"/>
    <n v="113"/>
    <s v="SEM INTERESSE"/>
    <s v="NEGOCIAÇÃO VIA TELEFONE"/>
    <n v="2"/>
    <x v="8"/>
    <s v="15.19"/>
    <s v="gleise"/>
    <s v="91 a 180"/>
    <s v="CPC"/>
    <x v="1"/>
  </r>
  <r>
    <s v="COGECOM"/>
    <n v="105441406"/>
    <s v="FRANCIELE HOLANDA DE MOURA"/>
    <s v="OUT"/>
    <s v="OUTROS"/>
    <n v="5719760938"/>
    <x v="0"/>
    <s v="1395.38"/>
    <s v="1395.38"/>
    <n v="87"/>
    <s v="NÃO LOCALIZADO"/>
    <s v="TELEFONES SEM ATENDIMENTO"/>
    <n v="2"/>
    <x v="8"/>
    <s v="11.26"/>
    <s v="gleise"/>
    <s v="61 a 90"/>
    <s v="ACIONAMENTO"/>
    <x v="0"/>
  </r>
  <r>
    <s v="COGECOM"/>
    <n v="108173119"/>
    <s v="DUAILA LEDUR BONA"/>
    <s v="OUT"/>
    <s v="OUTROS"/>
    <n v="5111091998"/>
    <x v="0"/>
    <s v="1221.14"/>
    <s v="1221.14"/>
    <n v="82"/>
    <s v="NÃO LOCALIZADO"/>
    <s v="TELEFONES SEM ATENDIMENTO"/>
    <n v="2"/>
    <x v="8"/>
    <s v="11.30"/>
    <s v="gleise"/>
    <s v="61 a 90"/>
    <s v="ACIONAMENTO"/>
    <x v="0"/>
  </r>
  <r>
    <s v="COGECOM"/>
    <n v="3090914927"/>
    <s v="VINICIO CASSIANO"/>
    <s v="OUT"/>
    <s v="OUTROS"/>
    <n v="14601893887"/>
    <x v="0"/>
    <s v="307.18"/>
    <s v="307.18"/>
    <n v="80"/>
    <s v="NÃO LOCALIZADO"/>
    <s v="TELEFONES SEM ATENDIMENTO"/>
    <n v="2"/>
    <x v="8"/>
    <s v="17.04"/>
    <s v="gleise"/>
    <s v="61 a 90"/>
    <s v="ACIONAMENTO"/>
    <x v="0"/>
  </r>
  <r>
    <s v="COGECOM"/>
    <n v="21677728"/>
    <s v="3MS MINI MERCADO LTDA"/>
    <s v="OUT"/>
    <s v="OUTROS"/>
    <n v="34720267000175"/>
    <x v="0"/>
    <s v="4414.90"/>
    <s v="4414.90"/>
    <n v="76"/>
    <s v="NÃO LOCALIZADO"/>
    <s v="TELEFONES SEM ATENDIMENTO"/>
    <n v="2"/>
    <x v="8"/>
    <s v="14.46"/>
    <s v="gleise"/>
    <s v="61 a 90"/>
    <s v="ACIONAMENTO"/>
    <x v="0"/>
  </r>
  <r>
    <s v="COGECOM"/>
    <n v="16404014"/>
    <s v="ARLAN PEREIRA DOS SANTOS"/>
    <s v="OUT"/>
    <s v="OUTROS"/>
    <n v="92537812115"/>
    <x v="0"/>
    <s v="44.28"/>
    <s v="44.28"/>
    <n v="68"/>
    <s v="SEM INTERESSE"/>
    <s v="NEGOCIAÇÃO VIA TELEFONE"/>
    <n v="2"/>
    <x v="8"/>
    <s v="15.25"/>
    <s v="gleise"/>
    <s v="61 a 90"/>
    <s v="CPC"/>
    <x v="1"/>
  </r>
  <r>
    <s v="COGECOM"/>
    <n v="48365050"/>
    <s v="CLAUDIA FLORIANO LORENZON"/>
    <s v="OUT"/>
    <s v="OUTROS"/>
    <n v="2825397946"/>
    <x v="0"/>
    <s v="351.96"/>
    <s v="354.85"/>
    <n v="71"/>
    <s v="NÃO LOCALIZADO"/>
    <s v="TELEFONES SEM ATENDIMENTO"/>
    <n v="2"/>
    <x v="8"/>
    <s v="11.42"/>
    <s v="gleise"/>
    <s v="61 a 90"/>
    <s v="ACIONAMENTO"/>
    <x v="0"/>
  </r>
  <r>
    <s v="COGECOM"/>
    <n v="91939933"/>
    <s v="CREUSA APARECIDA DA SILVA OLIVEIRA LEMISZKA"/>
    <s v="OUT"/>
    <s v="OUTROS"/>
    <n v="29154368863"/>
    <x v="0"/>
    <s v="92.74"/>
    <s v="29.18"/>
    <n v="71"/>
    <s v="NÃO LOCALIZADO"/>
    <s v="TELEFONES SEM ATENDIMENTO"/>
    <n v="2"/>
    <x v="8"/>
    <s v="10.37"/>
    <s v="gleise"/>
    <s v="61 a 90"/>
    <s v="ACIONAMENTO"/>
    <x v="0"/>
  </r>
  <r>
    <s v="COGECOM"/>
    <n v="52981492"/>
    <s v="IRMA ELIAS DE SOUZA"/>
    <s v="OUT"/>
    <s v="OUTROS"/>
    <n v="7561727992"/>
    <x v="0"/>
    <s v="128.36"/>
    <s v="65.62"/>
    <n v="66"/>
    <s v="NÃO LOCALIZADO"/>
    <s v="TELEFONES SEM ATENDIMENTO"/>
    <n v="2"/>
    <x v="8"/>
    <s v="16.50"/>
    <s v="gleise"/>
    <s v="61 a 90"/>
    <s v="ACIONAMENTO"/>
    <x v="0"/>
  </r>
  <r>
    <s v="COGECOM"/>
    <n v="30408853"/>
    <s v="IRMAOS GABRIEL ALIMENTOS LTDA"/>
    <s v="OUT"/>
    <s v="OUTROS"/>
    <n v="48399811000133"/>
    <x v="1"/>
    <s v="0.00"/>
    <s v="895.00"/>
    <n v="69"/>
    <s v="EM NEGOCIAÇÃO"/>
    <s v="ALTERACAO DEBITO"/>
    <n v="6"/>
    <x v="8"/>
    <s v="12.28"/>
    <s v="elizabel"/>
    <s v="61 a 90"/>
    <s v="ACIONAMENTO"/>
    <x v="2"/>
  </r>
  <r>
    <s v="COGECOM"/>
    <n v="69761213"/>
    <s v="ISABELLE BERNADETE RAMOS"/>
    <s v="OUT"/>
    <s v="OUTROS"/>
    <n v="396792928"/>
    <x v="0"/>
    <s v="91.93"/>
    <s v="23.66"/>
    <n v="71"/>
    <s v="SEM INTERESSE"/>
    <s v="NEGOCIAÇÃO VIA TELEFONE"/>
    <n v="2"/>
    <x v="8"/>
    <s v="15.29"/>
    <s v="gleise"/>
    <s v="61 a 90"/>
    <s v="CPC"/>
    <x v="1"/>
  </r>
  <r>
    <s v="COGECOM"/>
    <n v="3007634094"/>
    <s v="JULIETE FERREIRA ANTUNES"/>
    <s v="OUT"/>
    <s v="OUTROS"/>
    <n v="9189048628"/>
    <x v="0"/>
    <s v="69.89"/>
    <s v="69.89"/>
    <n v="68"/>
    <s v="SEM INTERESSE"/>
    <s v="NEGOCIAÇÃO VIA TELEFONE"/>
    <n v="2"/>
    <x v="8"/>
    <s v="15.33"/>
    <s v="gleise"/>
    <s v="61 a 90"/>
    <s v="CPC"/>
    <x v="1"/>
  </r>
  <r>
    <s v="COGECOM"/>
    <n v="53865895"/>
    <s v="RICARDO DA  SILVA"/>
    <s v="OUT"/>
    <s v="OUTROS"/>
    <n v="2062443986"/>
    <x v="0"/>
    <s v="224.36"/>
    <s v="23.63"/>
    <n v="73"/>
    <s v="NÃO LOCALIZADO"/>
    <s v="TELEFONES SEM ATENDIMENTO"/>
    <n v="2"/>
    <x v="8"/>
    <s v="16.53"/>
    <s v="gleise"/>
    <s v="61 a 90"/>
    <s v="ACIONAMENTO"/>
    <x v="0"/>
  </r>
  <r>
    <s v="COGECOM"/>
    <n v="48375723"/>
    <s v="RONIVALDO SILVA DE SOUZA"/>
    <s v="OUT"/>
    <s v="OUTROS"/>
    <n v="1793593981"/>
    <x v="0"/>
    <s v="398.90"/>
    <s v="237.12"/>
    <n v="66"/>
    <s v="SEM INTERESSE"/>
    <s v="NEGOCIAÇÃO VIA TELEFONE"/>
    <n v="2"/>
    <x v="8"/>
    <s v="15.41"/>
    <s v="l.quadros"/>
    <s v="61 a 90"/>
    <s v="CPC"/>
    <x v="1"/>
  </r>
  <r>
    <s v="COGECOM"/>
    <n v="53560873"/>
    <s v="GENIR LOURDES ANGELI DA SILVA"/>
    <s v="OUT"/>
    <s v="OUTROS"/>
    <n v="55318096034"/>
    <x v="0"/>
    <s v="118.57"/>
    <s v="118.57"/>
    <n v="62"/>
    <s v="SEM INTERESSE"/>
    <s v="NEGOCIAÇÃO VIA TELEFONE"/>
    <n v="2"/>
    <x v="8"/>
    <s v="15.46"/>
    <s v="gleise"/>
    <s v="61 a 90"/>
    <s v="CPC"/>
    <x v="1"/>
  </r>
  <r>
    <s v="COGECOM"/>
    <n v="14459966"/>
    <s v="PAULO ANTONIO DA SERRA"/>
    <s v="OUT"/>
    <s v="OUTROS"/>
    <n v="30211107115"/>
    <x v="0"/>
    <s v="283.27"/>
    <s v="159.27"/>
    <n v="61"/>
    <s v="NÃO LOCALIZADO"/>
    <s v="TELEFONES SEM ATENDIMENTO"/>
    <n v="2"/>
    <x v="8"/>
    <s v="13.10"/>
    <s v="gleise"/>
    <s v="61 a 90"/>
    <s v="ACIONAMENTO"/>
    <x v="0"/>
  </r>
  <r>
    <s v="COGECOM"/>
    <n v="71874976"/>
    <s v="ALEX DA SILVA PEREIRA"/>
    <s v="OUT"/>
    <s v="OUTROS"/>
    <n v="9290565900"/>
    <x v="0"/>
    <s v="1175.09"/>
    <s v="1175.09"/>
    <n v="61"/>
    <s v="AG RESPOSTA 1º CONTATO"/>
    <s v="ENVIADO MSG/E-MAIL 1º CONTATO"/>
    <n v="2"/>
    <x v="8"/>
    <s v="17.20"/>
    <s v="l.quadros"/>
    <s v="61 a 90"/>
    <s v="ACIONAMENTO"/>
    <x v="4"/>
  </r>
  <r>
    <s v="COGECOM"/>
    <n v="12249658"/>
    <s v="EMILIANA MARIA SILVA LIMA"/>
    <s v="OUT"/>
    <s v="OUTROS"/>
    <n v="50870424149"/>
    <x v="1"/>
    <s v="0.00"/>
    <s v="79.97"/>
    <n v="49"/>
    <s v="ACORDO VIGENTE COLCHÃO EM DIA"/>
    <s v="ESTORNO"/>
    <n v="19"/>
    <x v="8"/>
    <s v="15.17"/>
    <s v="luciano"/>
    <s v="31 a 60"/>
    <s v="ACIONAMENTO"/>
    <x v="2"/>
  </r>
  <r>
    <s v="COGECOM"/>
    <n v="3095190811"/>
    <s v="JOSIANE BECKER FINOTTO"/>
    <s v="OUT"/>
    <s v="OUTROS"/>
    <n v="542298040"/>
    <x v="0"/>
    <s v="183.29"/>
    <s v="183.29"/>
    <n v="53"/>
    <s v="SEM INTERESSE"/>
    <s v="NEGOCIAÇÃO VIA TELEFONE"/>
    <n v="2"/>
    <x v="8"/>
    <s v="15.49"/>
    <s v="gleise"/>
    <s v="31 a 60"/>
    <s v="CPC"/>
    <x v="1"/>
  </r>
  <r>
    <s v="COGECOM"/>
    <n v="65673395"/>
    <s v="ELISANGELA DE SOUZA"/>
    <s v="OUT"/>
    <s v="OUTROS"/>
    <n v="3364012997"/>
    <x v="0"/>
    <s v="119.36"/>
    <s v="119.36"/>
    <n v="53"/>
    <s v="NÃO LOCALIZADO"/>
    <s v="TELEFONES SEM ATENDIMENTO"/>
    <n v="2"/>
    <x v="8"/>
    <s v="11.05"/>
    <s v="gleise"/>
    <s v="31 a 60"/>
    <s v="ACIONAMENTO"/>
    <x v="0"/>
  </r>
  <r>
    <s v="COGECOM"/>
    <n v="99572320"/>
    <s v="ANA PAULA ALVES COLACO SANTOS"/>
    <s v="OUT"/>
    <s v="OUTROS"/>
    <n v="4334597947"/>
    <x v="0"/>
    <s v="127.82"/>
    <s v="127.82"/>
    <n v="53"/>
    <s v="NÃO LOCALIZADO"/>
    <s v="TELEFONES SEM ATENDIMENTO"/>
    <n v="2"/>
    <x v="8"/>
    <s v="13.12"/>
    <s v="gleise"/>
    <s v="31 a 60"/>
    <s v="ACIONAMENTO"/>
    <x v="0"/>
  </r>
  <r>
    <s v="COGECOM"/>
    <n v="3007697416"/>
    <s v="DEBORAH JULIANA FARIA"/>
    <s v="OUT"/>
    <s v="OUTROS"/>
    <n v="4699621600"/>
    <x v="0"/>
    <s v="56.47"/>
    <s v="56.47"/>
    <n v="55"/>
    <s v="SEM INTERESSE"/>
    <s v="NEGOCIAÇÃO VIA TELEFONE"/>
    <n v="2"/>
    <x v="8"/>
    <s v="15.54"/>
    <s v="gleise"/>
    <s v="31 a 60"/>
    <s v="CPC"/>
    <x v="1"/>
  </r>
  <r>
    <s v="COGECOM"/>
    <n v="17136222"/>
    <s v="DIONESIO VICENTE SOUZA JUNIOR"/>
    <s v="OUT"/>
    <s v="OUTROS"/>
    <n v="404299113"/>
    <x v="0"/>
    <s v="306.41"/>
    <s v="306.41"/>
    <n v="46"/>
    <s v="SEM INTERESSE"/>
    <s v="NEGOCIAÇÃO VIA TELEFONE"/>
    <n v="2"/>
    <x v="8"/>
    <s v="11.48"/>
    <s v="gleise"/>
    <s v="31 a 60"/>
    <s v="CPC"/>
    <x v="1"/>
  </r>
  <r>
    <s v="COGECOM"/>
    <n v="54402155"/>
    <s v="MAYCON ANTONIO DA SILVA RECHE"/>
    <s v="OUT"/>
    <s v="OUTROS"/>
    <n v="3650950103"/>
    <x v="0"/>
    <s v="54.04"/>
    <s v="54.04"/>
    <n v="71"/>
    <s v="NÃO LOCALIZADO"/>
    <s v="TELEFONES SEM ATENDIMENTO"/>
    <n v="2"/>
    <x v="8"/>
    <s v="16.51"/>
    <s v="gleise"/>
    <s v="61 a 90"/>
    <s v="ACIONAMENTO"/>
    <x v="0"/>
  </r>
  <r>
    <s v="COGECOM"/>
    <n v="10693837"/>
    <s v="TARCISIO RODRIGUES LIMA"/>
    <s v="OUT"/>
    <s v="OUTROS"/>
    <n v="29374448220"/>
    <x v="0"/>
    <s v="5572.42"/>
    <s v="5572.42"/>
    <n v="181"/>
    <s v="NÃO LOCALIZADO"/>
    <s v="TELEFONES SEM ATENDIMENTO"/>
    <n v="2"/>
    <x v="8"/>
    <s v="11.15"/>
    <s v="gleise"/>
    <s v="181 a 360"/>
    <s v="ACIONAMENTO"/>
    <x v="0"/>
  </r>
  <r>
    <s v="COGECOM"/>
    <n v="86170570"/>
    <s v="JOEL MALUCELLI"/>
    <s v="OUT"/>
    <s v="OUTROS"/>
    <n v="305456920"/>
    <x v="0"/>
    <s v="168.46"/>
    <s v="168.46"/>
    <n v="42"/>
    <s v="NÃO LOCALIZADO"/>
    <s v="TELEFONES SEM ATENDIMENTO"/>
    <n v="2"/>
    <x v="8"/>
    <s v="15.55"/>
    <s v="gleise"/>
    <s v="31 a 60"/>
    <s v="ACIONAMENTO"/>
    <x v="0"/>
  </r>
  <r>
    <s v="COGECOM"/>
    <n v="94402531"/>
    <s v="BRUNO JOSE PEREIRA"/>
    <s v="OUT"/>
    <s v="OUTROS"/>
    <n v="32993169823"/>
    <x v="0"/>
    <s v="252.15"/>
    <s v="252.15"/>
    <n v="38"/>
    <s v="SEM INTERESSE"/>
    <s v="NEGOCIAÇÃO VIA TELEFONE"/>
    <n v="2"/>
    <x v="8"/>
    <s v="16.32"/>
    <s v="gleise"/>
    <s v="31 a 60"/>
    <s v="CPC"/>
    <x v="1"/>
  </r>
  <r>
    <s v="COGECOM"/>
    <n v="82951756"/>
    <s v="ROSILENE JARROS"/>
    <s v="OUT"/>
    <s v="OUTROS"/>
    <n v="62273485972"/>
    <x v="0"/>
    <s v="529.89"/>
    <s v="529.89"/>
    <n v="34"/>
    <s v="NÃO LOCALIZADO"/>
    <s v="TELEFONES SEM ATENDIMENTO"/>
    <n v="2"/>
    <x v="8"/>
    <s v="16.19"/>
    <s v="gleise"/>
    <s v="31 a 60"/>
    <s v="ACIONAMENTO"/>
    <x v="0"/>
  </r>
  <r>
    <s v="COGECOM"/>
    <n v="48092977"/>
    <s v="CARLOS ROBERTO DALLELASTE"/>
    <s v="OUT"/>
    <s v="OUTROS"/>
    <n v="54927501000"/>
    <x v="0"/>
    <s v="4803.78"/>
    <s v="446.97"/>
    <n v="1304"/>
    <s v="NÃO LOCALIZADO"/>
    <s v="TELEFONES SEM ATENDIMENTO"/>
    <n v="5"/>
    <x v="9"/>
    <s v="13.44"/>
    <s v="gleise"/>
    <s v="Acima de 361"/>
    <s v="ACIONAMENTO"/>
    <x v="0"/>
  </r>
  <r>
    <s v="COGECOM"/>
    <n v="53030033"/>
    <s v="ANA CLAUDIA WILBERT"/>
    <s v="OUT"/>
    <s v="OUTROS"/>
    <n v="6440598937"/>
    <x v="1"/>
    <s v="0.00"/>
    <s v="104.94"/>
    <n v="186"/>
    <s v="ACORDO VIGENTE COLCHÃO EM DIA"/>
    <s v="ESTORNO"/>
    <n v="13"/>
    <x v="9"/>
    <s v="12.43"/>
    <s v="luciano"/>
    <s v="181 a 360"/>
    <s v="ACIONAMENTO"/>
    <x v="2"/>
  </r>
  <r>
    <s v="COGECOM"/>
    <n v="77581164"/>
    <s v="ANDERSON MARTINS AVANZI"/>
    <s v="OUT"/>
    <s v="OUTROS"/>
    <n v="25306969852"/>
    <x v="0"/>
    <s v="1707.46"/>
    <s v="366.87"/>
    <n v="434"/>
    <s v="SEM INTERESSE"/>
    <s v="NEGOCIAÇÃO VIA TELEFONE"/>
    <n v="5"/>
    <x v="9"/>
    <s v="9.18"/>
    <s v="gleise"/>
    <s v="Acima de 361"/>
    <s v="CPC"/>
    <x v="1"/>
  </r>
  <r>
    <s v="COGECOM"/>
    <n v="3003611244"/>
    <s v="BRUNO ANTONIO LOPES MANDOLESI"/>
    <s v="OUT"/>
    <s v="OUTROS"/>
    <n v="48693529668"/>
    <x v="0"/>
    <s v="14.47"/>
    <s v="54.32"/>
    <n v="223"/>
    <s v="SEM INTERESSE"/>
    <s v="NEGOCIAÇÃO VIA TELEFONE"/>
    <n v="5"/>
    <x v="9"/>
    <s v="10.20"/>
    <s v="anakeppe"/>
    <s v="181 a 360"/>
    <s v="CPC"/>
    <x v="1"/>
  </r>
  <r>
    <s v="COGECOM"/>
    <n v="3082879265"/>
    <s v="CAMILA LOUREIRO EWERLING"/>
    <s v="OUT"/>
    <s v="OUTROS"/>
    <n v="2090596058"/>
    <x v="0"/>
    <s v="88.22"/>
    <s v="72.21"/>
    <n v="224"/>
    <s v="NÃO LOCALIZADO"/>
    <s v="TELEFONES SEM ATENDIMENTO"/>
    <n v="5"/>
    <x v="9"/>
    <s v="13.39"/>
    <s v="gleise"/>
    <s v="181 a 360"/>
    <s v="ACIONAMENTO"/>
    <x v="0"/>
  </r>
  <r>
    <s v="COGECOM"/>
    <n v="66984084"/>
    <s v="CARLOS EDUARDO CAZARIM"/>
    <s v="OUT"/>
    <s v="OUTROS"/>
    <n v="2559384973"/>
    <x v="0"/>
    <s v="315.11"/>
    <s v="218.69"/>
    <n v="254"/>
    <s v="NÃO LOCALIZADO"/>
    <s v="TELEFONES SEM ATENDIMENTO"/>
    <n v="5"/>
    <x v="9"/>
    <s v="13.57"/>
    <s v="gleise"/>
    <s v="181 a 360"/>
    <s v="ACIONAMENTO"/>
    <x v="0"/>
  </r>
  <r>
    <s v="COGECOM"/>
    <n v="3095439371"/>
    <s v="DANIEL TRINDADE MATIUZZI"/>
    <s v="OUT"/>
    <s v="OUTROS"/>
    <n v="99450259020"/>
    <x v="0"/>
    <s v="2504.08"/>
    <s v="446.67"/>
    <n v="321"/>
    <s v="SEM INTERESSE"/>
    <s v="NEGOCIAÇÃO VIA TELEFONE"/>
    <n v="5"/>
    <x v="9"/>
    <s v="9.24"/>
    <s v="anakeppe"/>
    <s v="181 a 360"/>
    <s v="CPC"/>
    <x v="1"/>
  </r>
  <r>
    <s v="COGECOM"/>
    <n v="3085690593"/>
    <s v="DIEGO RODRIGUES"/>
    <s v="OUT"/>
    <s v="OUTROS"/>
    <n v="512204071"/>
    <x v="0"/>
    <s v="461.06"/>
    <s v="698.22"/>
    <n v="354"/>
    <s v="NÃO LOCALIZADO"/>
    <s v="TELEFONES SEM ATENDIMENTO"/>
    <n v="5"/>
    <x v="9"/>
    <s v="13.53"/>
    <s v="gleise"/>
    <s v="181 a 360"/>
    <s v="ACIONAMENTO"/>
    <x v="0"/>
  </r>
  <r>
    <s v="COGECOM"/>
    <n v="10018568635"/>
    <s v="FERNANDO HENRIQUE SOARES ALVES"/>
    <s v="OUT"/>
    <s v="OUTROS"/>
    <n v="3925738142"/>
    <x v="0"/>
    <s v="429.52"/>
    <s v="61.53"/>
    <n v="192"/>
    <s v="AG RESPOSTA 1º CONTATO"/>
    <s v="ENVIADO MSG/E-MAIL 1º CONTATO"/>
    <n v="5"/>
    <x v="9"/>
    <s v="17.19"/>
    <s v="l.quadros"/>
    <s v="181 a 360"/>
    <s v="ACIONAMENTO"/>
    <x v="4"/>
  </r>
  <r>
    <s v="COGECOM"/>
    <n v="3012757120"/>
    <s v="FRANCIELE DOS REIS MARTINS IZIDORO"/>
    <s v="OUT"/>
    <s v="OUTROS"/>
    <n v="10342132610"/>
    <x v="0"/>
    <s v="557.43"/>
    <s v="101.59"/>
    <n v="357"/>
    <s v="EM NEGOCIAÇÃO"/>
    <s v="NEGOCIAÇÃO VIA TELEFONE"/>
    <n v="5"/>
    <x v="9"/>
    <s v="9.59"/>
    <s v="anakeppe"/>
    <s v="181 a 360"/>
    <s v="CPC"/>
    <x v="2"/>
  </r>
  <r>
    <s v="COGECOM"/>
    <n v="94899053"/>
    <s v="FRANCISCO EDUARDO SOBRAL DE GOVEA"/>
    <s v="OUT"/>
    <s v="OUTROS"/>
    <n v="22034223861"/>
    <x v="0"/>
    <s v="1727.29"/>
    <s v="65.86"/>
    <n v="673"/>
    <s v="NÃO LOCALIZADO"/>
    <s v="TELEFONES SEM ATENDIMENTO"/>
    <n v="5"/>
    <x v="9"/>
    <s v="13.34"/>
    <s v="gleise"/>
    <s v="Acima de 361"/>
    <s v="ACIONAMENTO"/>
    <x v="0"/>
  </r>
  <r>
    <s v="COGECOM"/>
    <n v="10031955183"/>
    <s v="HAVELYN KETONNY LIMA DE JESUS"/>
    <s v="OUT"/>
    <s v="OUTROS"/>
    <n v="2158480122"/>
    <x v="0"/>
    <s v="248.50"/>
    <s v="282.95"/>
    <n v="235"/>
    <s v="SEM INTERESSE"/>
    <s v="NEGOCIAÇÃO VIA TELEFONE"/>
    <n v="5"/>
    <x v="9"/>
    <s v="14.28"/>
    <s v="anakeppe"/>
    <s v="181 a 360"/>
    <s v="CPC"/>
    <x v="1"/>
  </r>
  <r>
    <s v="COGECOM"/>
    <n v="10007289888"/>
    <s v="IOLANDA SILVA ROSA"/>
    <s v="OUT"/>
    <s v="OUTROS"/>
    <n v="1638119899"/>
    <x v="0"/>
    <s v="331.01"/>
    <s v="51.19"/>
    <n v="306"/>
    <s v="SEM CONDIÇÕES"/>
    <s v="NEGOCIAÇÃO VIA TELEFONE"/>
    <n v="5"/>
    <x v="9"/>
    <s v="14.21"/>
    <s v="gleise"/>
    <s v="181 a 360"/>
    <s v="CPC"/>
    <x v="3"/>
  </r>
  <r>
    <s v="COGECOM"/>
    <n v="10020311190"/>
    <s v="JOHNATHAN MOREIRA GOMES"/>
    <s v="OUT"/>
    <s v="OUTROS"/>
    <n v="73431958168"/>
    <x v="0"/>
    <s v="1309.86"/>
    <s v="261.80"/>
    <n v="331"/>
    <s v="NÃO LOCALIZADO"/>
    <s v="TELEFONES SEM ATENDIMENTO"/>
    <n v="5"/>
    <x v="9"/>
    <s v="13.55"/>
    <s v="gleise"/>
    <s v="181 a 360"/>
    <s v="ACIONAMENTO"/>
    <x v="0"/>
  </r>
  <r>
    <s v="COGECOM"/>
    <n v="23299640"/>
    <s v="JOSE RUBENS CONSTANT PIRES"/>
    <s v="OUT"/>
    <s v="OUTROS"/>
    <n v="85519910863"/>
    <x v="0"/>
    <s v="2761.85"/>
    <s v="879.06"/>
    <n v="537"/>
    <s v="AG RESPOSTA 1º CONTATO"/>
    <s v="ENVIADO MSG/E-MAIL 1º CONTATO"/>
    <n v="5"/>
    <x v="9"/>
    <s v="14.08"/>
    <s v="l.quadros"/>
    <s v="Acima de 361"/>
    <s v="ACIONAMENTO"/>
    <x v="4"/>
  </r>
  <r>
    <s v="COGECOM"/>
    <n v="4003104745"/>
    <s v="JOSIANE DA SILVA GIACOMELLI"/>
    <s v="OUT"/>
    <s v="OUTROS"/>
    <n v="72167599072"/>
    <x v="0"/>
    <s v="698.22"/>
    <s v="698.22"/>
    <n v="272"/>
    <s v="AG RESPOSTA 1º CONTATO"/>
    <s v="ENVIADO MSG/E-MAIL 1º CONTATO"/>
    <n v="5"/>
    <x v="9"/>
    <s v="9.41"/>
    <s v="l.quadros"/>
    <s v="181 a 360"/>
    <s v="ACIONAMENTO"/>
    <x v="4"/>
  </r>
  <r>
    <s v="COGECOM"/>
    <n v="99275996"/>
    <s v="LEANDRO DA SILVA STROMBEK"/>
    <s v="OUT"/>
    <s v="OUTROS"/>
    <n v="2292294923"/>
    <x v="0"/>
    <s v="1770.64"/>
    <s v="557.66"/>
    <n v="332"/>
    <s v="NÃO LOCALIZADO"/>
    <s v="TELEFONES SEM ATENDIMENTO"/>
    <n v="5"/>
    <x v="9"/>
    <s v="14.00"/>
    <s v="gleise"/>
    <s v="181 a 360"/>
    <s v="ACIONAMENTO"/>
    <x v="0"/>
  </r>
  <r>
    <s v="COGECOM"/>
    <n v="4398483"/>
    <s v="LEOPOLDO ROBERTO MARKOVSKY"/>
    <s v="OUT"/>
    <s v="OUTROS"/>
    <n v="30505068818"/>
    <x v="0"/>
    <s v="1008.03"/>
    <s v="709.51"/>
    <n v="251"/>
    <s v="NÃO LOCALIZADO"/>
    <s v="TELEFONES SEM ATENDIMENTO"/>
    <n v="5"/>
    <x v="9"/>
    <s v="13.41"/>
    <s v="gleise"/>
    <s v="181 a 360"/>
    <s v="ACIONAMENTO"/>
    <x v="0"/>
  </r>
  <r>
    <s v="COGECOM"/>
    <n v="105489050"/>
    <s v="LUIZ PATRICK DOS SANTOS"/>
    <s v="OUT"/>
    <s v="OUTROS"/>
    <n v="1259730042"/>
    <x v="0"/>
    <s v="1361.49"/>
    <s v="447.12"/>
    <n v="321"/>
    <s v="SEM INTERESSE"/>
    <s v="NEGOCIAÇÃO VIA TELEFONE"/>
    <n v="5"/>
    <x v="9"/>
    <s v="10.26"/>
    <s v="anakeppe"/>
    <s v="181 a 360"/>
    <s v="CPC"/>
    <x v="1"/>
  </r>
  <r>
    <s v="COGECOM"/>
    <n v="5621720"/>
    <s v="MAICON WILLIANS LOPES FARIAS"/>
    <s v="OUT"/>
    <s v="OUTROS"/>
    <n v="1179937945"/>
    <x v="0"/>
    <s v="10917.44"/>
    <s v="3871.78"/>
    <n v="774"/>
    <s v="SEM INTERESSE"/>
    <s v="NEGOCIAÇÃO VIA TELEFONE"/>
    <n v="5"/>
    <x v="9"/>
    <s v="10.17"/>
    <s v="anakeppe"/>
    <s v="Acima de 361"/>
    <s v="CPC"/>
    <x v="1"/>
  </r>
  <r>
    <s v="COGECOM"/>
    <n v="5584177550"/>
    <s v="MARCOS RODRIGO SCHMALTZ"/>
    <s v="OUT"/>
    <s v="OUTROS"/>
    <n v="56543506172"/>
    <x v="0"/>
    <s v="1939.03"/>
    <s v="276.90"/>
    <n v="330"/>
    <s v="NÃO LOCALIZADO"/>
    <s v="TELEFONES SEM ATENDIMENTO"/>
    <n v="5"/>
    <x v="9"/>
    <s v="11.32"/>
    <s v="gleise"/>
    <s v="181 a 360"/>
    <s v="ACIONAMENTO"/>
    <x v="0"/>
  </r>
  <r>
    <s v="COGECOM"/>
    <n v="4002463473"/>
    <s v="MARIA ARIETE ARGOLO"/>
    <s v="OUT"/>
    <s v="OUTROS"/>
    <n v="37755862020"/>
    <x v="0"/>
    <s v="446.67"/>
    <s v="446.67"/>
    <n v="321"/>
    <s v="SEM INTERESSE"/>
    <s v="NEGOCIAÇÃO VIA TELEFONE"/>
    <n v="5"/>
    <x v="9"/>
    <s v="9.27"/>
    <s v="anakeppe"/>
    <s v="181 a 360"/>
    <s v="CPC"/>
    <x v="1"/>
  </r>
  <r>
    <s v="COGECOM"/>
    <n v="70594228"/>
    <s v="MARIA JOSIANE CHAVES PINHEIRO"/>
    <s v="OUT"/>
    <s v="OUTROS"/>
    <n v="81638256187"/>
    <x v="0"/>
    <s v="1003.07"/>
    <s v="195.77"/>
    <n v="275"/>
    <s v="SEM INTERESSE"/>
    <s v="NEGOCIAÇÃO VIA TELEFONE"/>
    <n v="5"/>
    <x v="9"/>
    <s v="13.20"/>
    <s v="gleise"/>
    <s v="181 a 360"/>
    <s v="CPC"/>
    <x v="1"/>
  </r>
  <r>
    <s v="COGECOM"/>
    <n v="3014367707"/>
    <s v="MEIRE APARECIDA LIMA"/>
    <s v="OUT"/>
    <s v="OUTROS"/>
    <n v="1192444620"/>
    <x v="0"/>
    <s v="6126.66"/>
    <s v="3341.17"/>
    <n v="441"/>
    <s v="SEM INTERESSE"/>
    <s v="RECADO COM"/>
    <n v="5"/>
    <x v="9"/>
    <s v="9.15"/>
    <s v="gleise"/>
    <s v="Acima de 361"/>
    <s v="ACIONAMENTO"/>
    <x v="1"/>
  </r>
  <r>
    <s v="COGECOM"/>
    <n v="99548089"/>
    <s v="MV ACADEMIA DE GINASTICA LTDA ME"/>
    <s v="OUT"/>
    <s v="OUTROS"/>
    <n v="79746772000127"/>
    <x v="0"/>
    <s v="898.92"/>
    <s v="898.92"/>
    <n v="1618"/>
    <s v="SEM INTERESSE"/>
    <s v="NEGOCIAÇÃO VIA TELEFONE"/>
    <n v="5"/>
    <x v="9"/>
    <s v="16.30"/>
    <s v="gleise"/>
    <s v="Acima de 361"/>
    <s v="CPC"/>
    <x v="1"/>
  </r>
  <r>
    <s v="COGECOM"/>
    <n v="25594061"/>
    <s v="ORLANDO ZEN"/>
    <s v="OUT"/>
    <s v="OUTROS"/>
    <n v="21643083953"/>
    <x v="0"/>
    <s v="284.67"/>
    <s v="344.63"/>
    <n v="177"/>
    <s v="NÃO LOCALIZADO"/>
    <s v="TELEFONES SEM ATENDIMENTO"/>
    <n v="5"/>
    <x v="9"/>
    <s v="9.20"/>
    <s v="gleise"/>
    <s v="91 a 180"/>
    <s v="ACIONAMENTO"/>
    <x v="0"/>
  </r>
  <r>
    <s v="COGECOM"/>
    <n v="99274604"/>
    <s v="OSVALDO FERREIRA DE ALMEIDA FILHO"/>
    <s v="OUT"/>
    <s v="OUTROS"/>
    <n v="2389124933"/>
    <x v="0"/>
    <s v="306.90"/>
    <s v="261.41"/>
    <n v="159"/>
    <s v="NÃO LOCALIZADO"/>
    <s v="TELEFONES SEM ATENDIMENTO"/>
    <n v="5"/>
    <x v="9"/>
    <s v="14.06"/>
    <s v="gleise"/>
    <s v="91 a 180"/>
    <s v="ACIONAMENTO"/>
    <x v="0"/>
  </r>
  <r>
    <s v="COGECOM"/>
    <n v="68346735"/>
    <s v="PATRICIA DA  SILVA"/>
    <s v="OUT"/>
    <s v="OUTROS"/>
    <n v="10722775903"/>
    <x v="0"/>
    <s v="1530.59"/>
    <s v="341.98"/>
    <n v="309"/>
    <s v="NÃO LOCALIZADO"/>
    <s v="TELEFONES SEM ATENDIMENTO"/>
    <n v="5"/>
    <x v="9"/>
    <s v="13.51"/>
    <s v="gleise"/>
    <s v="181 a 360"/>
    <s v="ACIONAMENTO"/>
    <x v="0"/>
  </r>
  <r>
    <s v="COGECOM"/>
    <n v="99951061"/>
    <s v="RAFAEL VIEIRA CARNEIRO"/>
    <s v="OUT"/>
    <s v="OUTROS"/>
    <n v="4255875928"/>
    <x v="1"/>
    <s v="165.68"/>
    <s v="48.46"/>
    <n v="701"/>
    <s v="EM NEGOCIAÇÃO"/>
    <s v="ESTORNO"/>
    <n v="8"/>
    <x v="9"/>
    <s v="16.15"/>
    <s v="luciano"/>
    <s v="Acima de 361"/>
    <s v="ACIONAMENTO"/>
    <x v="2"/>
  </r>
  <r>
    <s v="COGECOM"/>
    <n v="23096578"/>
    <s v="ROGERIO ROBERTO DE LIMA"/>
    <s v="OUT"/>
    <s v="OUTROS"/>
    <n v="4060168955"/>
    <x v="0"/>
    <s v="178.56"/>
    <s v="117.50"/>
    <n v="599"/>
    <s v="NÃO LOCALIZADO"/>
    <s v="TELEFONES SEM ATENDIMENTO"/>
    <n v="5"/>
    <x v="9"/>
    <s v="14.13"/>
    <s v="gleise"/>
    <s v="Acima de 361"/>
    <s v="ACIONAMENTO"/>
    <x v="0"/>
  </r>
  <r>
    <s v="COGECOM"/>
    <n v="34791965"/>
    <s v="RONALDO CESAR MENGATO"/>
    <s v="OUT"/>
    <s v="OUTROS"/>
    <n v="98276689949"/>
    <x v="0"/>
    <s v="514.48"/>
    <s v="213.39"/>
    <n v="499"/>
    <s v="AG RESPOSTA 1º CONTATO"/>
    <s v="ENVIADO MSG/E-MAIL 1º CONTATO"/>
    <n v="5"/>
    <x v="9"/>
    <s v="16.22"/>
    <s v="l.quadros"/>
    <s v="Acima de 361"/>
    <s v="ACIONAMENTO"/>
    <x v="4"/>
  </r>
  <r>
    <s v="COGECOM"/>
    <n v="7906463"/>
    <s v="ROSILENE GONCALVES DA SILVA"/>
    <s v="OUT"/>
    <s v="OUTROS"/>
    <n v="7395010973"/>
    <x v="0"/>
    <s v="1636.43"/>
    <s v="167.46"/>
    <n v="462"/>
    <s v="NÃO LOCALIZADO"/>
    <s v="TELEFONES SEM ATENDIMENTO"/>
    <n v="5"/>
    <x v="9"/>
    <s v="13.23"/>
    <s v="gleise"/>
    <s v="Acima de 361"/>
    <s v="ACIONAMENTO"/>
    <x v="0"/>
  </r>
  <r>
    <s v="COGECOM"/>
    <n v="3010357898"/>
    <s v="ROZIANE BABETO"/>
    <s v="OUT"/>
    <s v="OUTROS"/>
    <n v="4320846656"/>
    <x v="0"/>
    <s v="165.57"/>
    <s v="144.53"/>
    <n v="190"/>
    <s v="SEM INTERESSE"/>
    <s v="NEGOCIAÇÃO VIA TELEFONE"/>
    <n v="5"/>
    <x v="9"/>
    <s v="14.10"/>
    <s v="gleise"/>
    <s v="181 a 360"/>
    <s v="CPC"/>
    <x v="1"/>
  </r>
  <r>
    <s v="COGECOM"/>
    <n v="55652503"/>
    <s v="SAMUEL MARTINS MACIEL"/>
    <s v="OUT"/>
    <s v="OUTROS"/>
    <n v="6199173937"/>
    <x v="0"/>
    <s v="115.37"/>
    <s v="45.40"/>
    <n v="451"/>
    <s v="NÃO LOCALIZADO"/>
    <s v="TELEFONES SEM ATENDIMENTO"/>
    <n v="5"/>
    <x v="9"/>
    <s v="14.57"/>
    <s v="gleise"/>
    <s v="Acima de 361"/>
    <s v="ACIONAMENTO"/>
    <x v="0"/>
  </r>
  <r>
    <s v="COGECOM"/>
    <n v="13790699"/>
    <s v="SEBASTIAO MARCELINO CAMDIDO"/>
    <s v="OUT"/>
    <s v="OUTROS"/>
    <n v="16104935168"/>
    <x v="0"/>
    <s v="1419.70"/>
    <s v="361.95"/>
    <n v="278"/>
    <s v="SEM INTERESSE"/>
    <s v="NEGOCIAÇÃO VIA TELEFONE"/>
    <n v="5"/>
    <x v="9"/>
    <s v="9.27"/>
    <s v="anakeppe"/>
    <s v="181 a 360"/>
    <s v="CPC"/>
    <x v="1"/>
  </r>
  <r>
    <s v="COGECOM"/>
    <n v="610190027"/>
    <s v="UARLEI DE SANTANA RIBEIRO"/>
    <s v="OUT"/>
    <s v="OUTROS"/>
    <n v="72726458149"/>
    <x v="0"/>
    <s v="880.53"/>
    <s v="198.88"/>
    <n v="322"/>
    <s v="AG RESPOSTA 1º CONTATO"/>
    <s v="ENVIADO MSG/E-MAIL 1º CONTATO"/>
    <n v="5"/>
    <x v="9"/>
    <s v="16.31"/>
    <s v="l.quadros"/>
    <s v="181 a 360"/>
    <s v="ACIONAMENTO"/>
    <x v="4"/>
  </r>
  <r>
    <s v="COGECOM"/>
    <n v="10021020289"/>
    <s v="VALMIR JOSÉ ALVES DA  SILVA"/>
    <s v="OUT"/>
    <s v="OUTROS"/>
    <n v="53268652115"/>
    <x v="0"/>
    <s v="761.42"/>
    <s v="102.74"/>
    <n v="278"/>
    <s v="SEM INTERESSE"/>
    <s v="NEGOCIAÇÃO VIA WHATSAPP"/>
    <n v="5"/>
    <x v="9"/>
    <s v="11.33"/>
    <s v="l.quadros"/>
    <s v="181 a 360"/>
    <s v="CPC"/>
    <x v="1"/>
  </r>
  <r>
    <s v="COGECOM"/>
    <n v="3011174882"/>
    <s v="VANILDO ALVES DO SANTOS"/>
    <s v="OUT"/>
    <s v="OUTROS"/>
    <n v="40800431634"/>
    <x v="0"/>
    <s v="132.08"/>
    <s v="132.08"/>
    <n v="333"/>
    <s v="SEM INTERESSE"/>
    <s v="NEGOCIAÇÃO VIA TELEFONE"/>
    <n v="5"/>
    <x v="9"/>
    <s v="9.47"/>
    <s v="anakeppe"/>
    <s v="181 a 360"/>
    <s v="CPC"/>
    <x v="1"/>
  </r>
  <r>
    <s v="COGECOM"/>
    <n v="72542896"/>
    <s v="VARMELING CIA LTDA"/>
    <s v="OUT"/>
    <s v="OUTROS"/>
    <n v="8439482000192"/>
    <x v="0"/>
    <s v="2865.12"/>
    <s v="1143.19"/>
    <n v="1367"/>
    <s v="SEM INTERESSE"/>
    <s v="NEGOCIAÇÃO VIA TELEFONE"/>
    <n v="5"/>
    <x v="9"/>
    <s v="10.24"/>
    <s v="anakeppe"/>
    <s v="Acima de 361"/>
    <s v="CPC"/>
    <x v="1"/>
  </r>
  <r>
    <s v="COGECOM"/>
    <n v="21384885"/>
    <s v="OUZANA MARIA DE SOUZA SILVA"/>
    <s v="OUT"/>
    <s v="OUTROS"/>
    <n v="94369445191"/>
    <x v="0"/>
    <s v="1599.71"/>
    <s v="337.29"/>
    <n v="361"/>
    <s v="SEM INTERESSE"/>
    <s v="NEGOCIAÇÃO VIA TELEFONE"/>
    <n v="5"/>
    <x v="9"/>
    <s v="10.29"/>
    <s v="anakeppe"/>
    <s v="Acima de 361"/>
    <s v="CPC"/>
    <x v="1"/>
  </r>
  <r>
    <s v="COGECOM"/>
    <n v="94538476"/>
    <s v="GERSON LUIZ FERREIRA"/>
    <s v="OUT"/>
    <s v="OUTROS"/>
    <n v="51511738987"/>
    <x v="0"/>
    <s v="1290.72"/>
    <s v="297.36"/>
    <n v="185"/>
    <s v="SEM INTERESSE"/>
    <s v="NEGOCIAÇÃO VIA TELEFONE"/>
    <n v="5"/>
    <x v="9"/>
    <s v="9.28"/>
    <s v="anakeppe"/>
    <s v="181 a 360"/>
    <s v="CPC"/>
    <x v="1"/>
  </r>
  <r>
    <s v="COGECOM"/>
    <n v="31372992"/>
    <s v="JEAN MARCIO TRISTAO"/>
    <s v="OUT"/>
    <s v="OUTROS"/>
    <n v="4026711986"/>
    <x v="0"/>
    <s v="494.80"/>
    <s v="233.21"/>
    <n v="181"/>
    <m/>
    <s v="SOLICITAR EXTINÇÃO DA AÇÃO"/>
    <n v="9999"/>
    <x v="9"/>
    <s v="14.15"/>
    <s v="l.quadros"/>
    <s v="181 a 360"/>
    <s v="ACIONAMENTO"/>
    <x v="4"/>
  </r>
  <r>
    <s v="COGECOM"/>
    <n v="1390150449"/>
    <s v="MARIA APARECIDA SOUSA SILVA"/>
    <s v="OUT"/>
    <s v="OUTROS"/>
    <n v="97054950178"/>
    <x v="0"/>
    <s v="330.69"/>
    <s v="125.59"/>
    <n v="181"/>
    <s v="NÃO LOCALIZADO"/>
    <s v="TELEFONES SEM ATENDIMENTO"/>
    <n v="5"/>
    <x v="9"/>
    <s v="13.26"/>
    <s v="gleise"/>
    <s v="181 a 360"/>
    <s v="ACIONAMENTO"/>
    <x v="0"/>
  </r>
  <r>
    <s v="COGECOM"/>
    <n v="20747317"/>
    <s v="ELCE DE OLIVEIRA SANTOS"/>
    <s v="OUT"/>
    <s v="OUTROS"/>
    <n v="21017085153"/>
    <x v="0"/>
    <s v="212.18"/>
    <s v="71.39"/>
    <n v="181"/>
    <s v="NÃO LOCALIZADO"/>
    <s v="TELEFONES SEM ATENDIMENTO"/>
    <n v="5"/>
    <x v="9"/>
    <s v="9.07"/>
    <s v="gleise"/>
    <s v="181 a 360"/>
    <s v="ACIONAMENTO"/>
    <x v="0"/>
  </r>
  <r>
    <s v="COGECOM"/>
    <n v="10008659522"/>
    <s v="EDERSON APARECIDO DA CUNHA"/>
    <s v="OUT"/>
    <s v="OUTROS"/>
    <n v="93971346120"/>
    <x v="0"/>
    <s v="437.57"/>
    <s v="115.68"/>
    <n v="171"/>
    <s v="AG RESPOSTA 1º CONTATO"/>
    <s v="ENVIADO MSG/E-MAIL 1º CONTATO"/>
    <n v="5"/>
    <x v="9"/>
    <s v="17.29"/>
    <s v="l.quadros"/>
    <s v="91 a 180"/>
    <s v="ACIONAMENTO"/>
    <x v="4"/>
  </r>
  <r>
    <s v="COGECOM"/>
    <n v="223638"/>
    <s v="EDEVINO KUHNEN"/>
    <s v="OUT"/>
    <s v="OUTROS"/>
    <n v="56152043972"/>
    <x v="1"/>
    <s v="0.00"/>
    <s v="1634.69"/>
    <n v="331"/>
    <s v="SEM CONDIÇÕES"/>
    <s v="NEGOCIAÇÃO VIA TELEFONE"/>
    <n v="5"/>
    <x v="9"/>
    <s v="15.45"/>
    <s v="gleise"/>
    <s v="181 a 360"/>
    <s v="CPC"/>
    <x v="3"/>
  </r>
  <r>
    <s v="COGECOM"/>
    <n v="2703670"/>
    <s v="CONDOMINIO MORADAS DO LAGO"/>
    <s v="OUT"/>
    <s v="OUTROS"/>
    <n v="20110456000111"/>
    <x v="0"/>
    <s v="372.33"/>
    <s v="164.50"/>
    <n v="153"/>
    <s v="NÃO LOCALIZADO"/>
    <s v="TELEFONES SEM ATENDIMENTO"/>
    <n v="5"/>
    <x v="9"/>
    <s v="14.24"/>
    <s v="gleise"/>
    <s v="91 a 180"/>
    <s v="ACIONAMENTO"/>
    <x v="0"/>
  </r>
  <r>
    <s v="COGECOM"/>
    <n v="3012127082"/>
    <s v="JANETE GOMES SANTOS"/>
    <s v="OUT"/>
    <s v="OUTROS"/>
    <n v="12113323656"/>
    <x v="0"/>
    <s v="317.33"/>
    <s v="54.87"/>
    <n v="153"/>
    <s v="NÃO LOCALIZADO"/>
    <s v="NEGOCIAÇÃO VIA TELEFONE"/>
    <n v="5"/>
    <x v="9"/>
    <s v="10.18"/>
    <s v="anakeppe"/>
    <s v="91 a 180"/>
    <s v="CPC"/>
    <x v="0"/>
  </r>
  <r>
    <s v="COGECOM"/>
    <n v="3014078664"/>
    <s v="ARILENIO DIAS PINTO"/>
    <s v="OUT"/>
    <s v="OUTROS"/>
    <n v="3711273602"/>
    <x v="0"/>
    <s v="303.33"/>
    <s v="63.18"/>
    <n v="153"/>
    <s v="SEM INTERESSE"/>
    <s v="NEGOCIAÇÃO VIA TELEFONE"/>
    <n v="5"/>
    <x v="9"/>
    <s v="9.26"/>
    <s v="anakeppe"/>
    <s v="91 a 180"/>
    <s v="CPC"/>
    <x v="1"/>
  </r>
  <r>
    <s v="COGECOM"/>
    <n v="84630779"/>
    <s v="SIDNEY VITORIO BORTOLINI"/>
    <s v="OUT"/>
    <s v="OUTROS"/>
    <n v="80434207934"/>
    <x v="0"/>
    <s v="537.43"/>
    <s v="409.20"/>
    <n v="580"/>
    <s v="SEM INTERESSE"/>
    <s v="NEGOCIAÇÃO VIA TELEFONE"/>
    <n v="5"/>
    <x v="9"/>
    <s v="13.49"/>
    <s v="gleise"/>
    <s v="Acima de 361"/>
    <s v="CPC"/>
    <x v="1"/>
  </r>
  <r>
    <s v="COGECOM"/>
    <n v="4000965258"/>
    <s v="ADRIANA FIGUEIREDO BUENO DE OLIVEIRA"/>
    <s v="OUT"/>
    <s v="OUTROS"/>
    <n v="89498488487"/>
    <x v="0"/>
    <s v="315.22"/>
    <s v="284.29"/>
    <n v="125"/>
    <s v="ACORDO VIGENTE COLCHÃO EM DIA"/>
    <s v="ESTORNO"/>
    <n v="26"/>
    <x v="9"/>
    <s v="9.20"/>
    <s v="luciano"/>
    <s v="91 a 180"/>
    <s v="ACIONAMENTO"/>
    <x v="2"/>
  </r>
  <r>
    <s v="COGECOM"/>
    <n v="10024785413"/>
    <s v="VALDECY PEREIRA DA SILVA"/>
    <s v="OUT"/>
    <s v="OUTROS"/>
    <n v="21613397100"/>
    <x v="0"/>
    <s v="646.06"/>
    <s v="266.71"/>
    <n v="134"/>
    <s v="AG RESPOSTA 1º CONTATO"/>
    <s v="ENVIADO MSG/E-MAIL 1º CONTATO"/>
    <n v="5"/>
    <x v="9"/>
    <s v="10.12"/>
    <s v="l.quadros"/>
    <s v="91 a 180"/>
    <s v="ACIONAMENTO"/>
    <x v="4"/>
  </r>
  <r>
    <s v="COGECOM"/>
    <n v="89015568"/>
    <s v="JANDIR DA SILVA"/>
    <s v="OUT"/>
    <s v="OUTROS"/>
    <n v="51016940963"/>
    <x v="0"/>
    <s v="660.57"/>
    <s v="244.60"/>
    <n v="131"/>
    <s v="SEM INTERESSE"/>
    <s v="NEGOCIAÇÃO VIA TELEFONE"/>
    <n v="5"/>
    <x v="9"/>
    <s v="9.31"/>
    <s v="anakeppe"/>
    <s v="91 a 180"/>
    <s v="CPC"/>
    <x v="1"/>
  </r>
  <r>
    <s v="COGECOM"/>
    <n v="3006859217"/>
    <s v="ANDRE SILVA ALVES"/>
    <s v="OUT"/>
    <s v="OUTROS"/>
    <n v="4736634650"/>
    <x v="0"/>
    <s v="311.11"/>
    <s v="151.84"/>
    <n v="143"/>
    <s v="AG RESPOSTA 1º CONTATO"/>
    <s v="ENVIADO MSG/E-MAIL 1º CONTATO"/>
    <n v="5"/>
    <x v="9"/>
    <s v="17.22"/>
    <s v="l.quadros"/>
    <s v="91 a 180"/>
    <s v="ACIONAMENTO"/>
    <x v="4"/>
  </r>
  <r>
    <s v="COGECOM"/>
    <n v="3004127299"/>
    <s v="MARIA RITA DA SILVA"/>
    <s v="OUT"/>
    <s v="OUTROS"/>
    <n v="46397361691"/>
    <x v="0"/>
    <s v="278.30"/>
    <s v="137.86"/>
    <n v="143"/>
    <s v="SEM INTERESSE"/>
    <s v="NEGOCIAÇÃO VIA TELEFONE"/>
    <n v="5"/>
    <x v="9"/>
    <s v="9.46"/>
    <s v="anakeppe"/>
    <s v="91 a 180"/>
    <s v="CPC"/>
    <x v="1"/>
  </r>
  <r>
    <s v="COGECOM"/>
    <n v="10025282580"/>
    <s v="FABYA VIEIRA DE ALMEIDA"/>
    <s v="OUT"/>
    <s v="OUTROS"/>
    <n v="2187246167"/>
    <x v="0"/>
    <s v="517.56"/>
    <s v="120.66"/>
    <n v="141"/>
    <s v="AG RESPOSTA 1º CONTATO"/>
    <s v="ENVIADO MSG/E-MAIL 1º CONTATO"/>
    <n v="5"/>
    <x v="9"/>
    <s v="17.27"/>
    <s v="l.quadros"/>
    <s v="91 a 180"/>
    <s v="ACIONAMENTO"/>
    <x v="4"/>
  </r>
  <r>
    <s v="COGECOM"/>
    <n v="3085580157"/>
    <s v="ADEMIR JOSE BARRACHINI"/>
    <s v="OUT"/>
    <s v="OUTROS"/>
    <n v="53197267087"/>
    <x v="0"/>
    <s v="242.26"/>
    <s v="242.26"/>
    <n v="85"/>
    <s v="SEM INTERESSE"/>
    <s v="NEGOCIAÇÃO VIA TELEFONE"/>
    <n v="5"/>
    <x v="9"/>
    <s v="11.18"/>
    <s v="anakeppe"/>
    <s v="61 a 90"/>
    <s v="CPC"/>
    <x v="1"/>
  </r>
  <r>
    <s v="COGECOM"/>
    <n v="35616679"/>
    <s v="DARIO IBRAHIM BARBOSA"/>
    <s v="OUT"/>
    <s v="OUTROS"/>
    <n v="78062233200"/>
    <x v="0"/>
    <s v="137.79"/>
    <s v="58.92"/>
    <n v="93"/>
    <s v="ACORDO VIGENTE COLCHÃO EM DIA"/>
    <s v="ESTORNO"/>
    <n v="9"/>
    <x v="9"/>
    <s v="9.40"/>
    <s v="luciano"/>
    <s v="91 a 180"/>
    <s v="ACIONAMENTO"/>
    <x v="2"/>
  </r>
  <r>
    <s v="COGECOM"/>
    <n v="3012236197"/>
    <s v="JOAO ANTONIO GONCALVES MARQUES"/>
    <s v="OUT"/>
    <s v="OUTROS"/>
    <n v="2599453151"/>
    <x v="0"/>
    <s v="5746.27"/>
    <s v="2702.94"/>
    <n v="149"/>
    <s v="NÃO LOCALIZADO"/>
    <s v="TELEFONES SEM ATENDIMENTO"/>
    <n v="5"/>
    <x v="9"/>
    <s v="15.27"/>
    <s v="gleise"/>
    <s v="91 a 180"/>
    <s v="ACIONAMENTO"/>
    <x v="0"/>
  </r>
  <r>
    <s v="COGECOM"/>
    <n v="54271808"/>
    <s v="DANIELA FLORIANO"/>
    <s v="OUT"/>
    <s v="OUTROS"/>
    <n v="9289131985"/>
    <x v="0"/>
    <s v="1881.25"/>
    <s v="1441.19"/>
    <n v="82"/>
    <s v="NÃO LOCALIZADO"/>
    <s v="TELEFONES SEM ATENDIMENTO"/>
    <n v="5"/>
    <x v="9"/>
    <s v="15.53"/>
    <s v="gleise"/>
    <s v="61 a 90"/>
    <s v="ACIONAMENTO"/>
    <x v="0"/>
  </r>
  <r>
    <s v="COGECOM"/>
    <n v="16046838"/>
    <s v="FAUSI HENRIQUE PINTAO"/>
    <s v="OUT"/>
    <s v="OUTROS"/>
    <n v="55989743000128"/>
    <x v="0"/>
    <s v="4331.10"/>
    <s v="4331.10"/>
    <n v="79"/>
    <s v="NÃO LOCALIZADO"/>
    <s v="PESQUISA NEGATIVA"/>
    <n v="5"/>
    <x v="9"/>
    <s v="13.37"/>
    <s v="gleise"/>
    <s v="61 a 90"/>
    <s v="ACIONAMENTO"/>
    <x v="0"/>
  </r>
  <r>
    <s v="COGECOM"/>
    <n v="52099080"/>
    <s v="JULIETE ARIANE TEIXEIRA"/>
    <s v="OUT"/>
    <s v="OUTROS"/>
    <n v="5304146948"/>
    <x v="0"/>
    <s v="3213.71"/>
    <s v="1328.45"/>
    <n v="76"/>
    <s v="NÃO LOCALIZADO"/>
    <s v="TELEFONES SEM ATENDIMENTO"/>
    <n v="5"/>
    <x v="9"/>
    <s v="15.56"/>
    <s v="gleise"/>
    <s v="61 a 90"/>
    <s v="ACIONAMENTO"/>
    <x v="0"/>
  </r>
  <r>
    <s v="COGECOM"/>
    <n v="21699250"/>
    <s v="ERONI SELINGER"/>
    <s v="OUT"/>
    <s v="OUTROS"/>
    <n v="75384027991"/>
    <x v="0"/>
    <s v="57.35"/>
    <s v="57.35"/>
    <n v="62"/>
    <s v="NÃO LOCALIZADO"/>
    <s v="TELEFONES SEM ATENDIMENTO"/>
    <n v="5"/>
    <x v="9"/>
    <s v="14.56"/>
    <s v="gleise"/>
    <s v="61 a 90"/>
    <s v="ACIONAMENTO"/>
    <x v="0"/>
  </r>
  <r>
    <s v="COGECOM"/>
    <n v="99760401"/>
    <s v="DENIS OKAMURA"/>
    <s v="OUT"/>
    <s v="OUTROS"/>
    <n v="25949804805"/>
    <x v="1"/>
    <s v="0.00"/>
    <s v="182.97"/>
    <n v="61"/>
    <s v="EM NEGOCIAÇÃO"/>
    <s v="NEGOCIAÇÃO VIA TELEFONE"/>
    <n v="5"/>
    <x v="9"/>
    <s v="14.59"/>
    <s v="anakeppe"/>
    <s v="61 a 90"/>
    <s v="CPC"/>
    <x v="2"/>
  </r>
  <r>
    <s v="COGECOM"/>
    <n v="16808932"/>
    <s v="JOSE CARLOS CANGEMI"/>
    <s v="OUT"/>
    <s v="OUTROS"/>
    <n v="5186325805"/>
    <x v="1"/>
    <s v="0.00"/>
    <s v="190.55"/>
    <n v="79"/>
    <s v="SEM INTERESSE"/>
    <s v="ALTERACAO DEBITO"/>
    <n v="6"/>
    <x v="9"/>
    <s v="9.19"/>
    <s v="luciano"/>
    <s v="61 a 90"/>
    <s v="ACIONAMENTO"/>
    <x v="1"/>
  </r>
  <r>
    <s v="COGECOM"/>
    <n v="4001801023"/>
    <s v="RENATA ADAMS VAZ"/>
    <s v="OUT"/>
    <s v="OUTROS"/>
    <n v="603802095"/>
    <x v="1"/>
    <s v="0.00"/>
    <s v="114.39"/>
    <n v="47"/>
    <m/>
    <s v="SOLICITAR EXTINÇÃO DA AÇÃO"/>
    <n v="9999"/>
    <x v="9"/>
    <s v="15.00"/>
    <s v="anakeppe"/>
    <s v="31 a 60"/>
    <s v="ACIONAMENTO"/>
    <x v="4"/>
  </r>
  <r>
    <s v="COGECOM"/>
    <n v="3085626395"/>
    <s v="LUIS CARBALLO PEGO"/>
    <s v="OUT"/>
    <s v="OUTROS"/>
    <n v="70005217164"/>
    <x v="1"/>
    <s v="0.00"/>
    <s v="3668.71"/>
    <n v="83"/>
    <s v="EM NEGOCIAÇÃO"/>
    <s v="ALTERACAO DEBITO"/>
    <n v="16"/>
    <x v="9"/>
    <s v="12.20"/>
    <s v="elizabel"/>
    <s v="61 a 90"/>
    <s v="ACIONAMENTO"/>
    <x v="2"/>
  </r>
  <r>
    <s v="COGECOM"/>
    <n v="42614953"/>
    <s v="NILSON RODRIGUES PAZINI"/>
    <s v="OUT"/>
    <s v="OUTROS"/>
    <n v="36732084895"/>
    <x v="1"/>
    <s v="0.00"/>
    <s v="40.24"/>
    <n v="36"/>
    <s v="EM NEGOCIAÇÃO"/>
    <s v="ALTERACAO DEBITO"/>
    <n v="15"/>
    <x v="9"/>
    <s v="12.20"/>
    <s v="elizabel"/>
    <s v="31 a 60"/>
    <s v="ACIONAMENTO"/>
    <x v="2"/>
  </r>
  <r>
    <s v="COGECOM"/>
    <n v="26218496"/>
    <s v="ANTONIO EDUARDO EIRAS GARCIA"/>
    <s v="OUT"/>
    <s v="OUTROS"/>
    <n v="13860665839"/>
    <x v="0"/>
    <s v="219.35"/>
    <s v="219.35"/>
    <n v="32"/>
    <s v="NÃO LOCALIZADO"/>
    <s v="TELEFONES SEM ATENDIMENTO"/>
    <n v="5"/>
    <x v="9"/>
    <s v="15.17"/>
    <s v="gleise"/>
    <s v="31 a 60"/>
    <s v="ACIONAMENTO"/>
    <x v="0"/>
  </r>
  <r>
    <s v="COGECOM"/>
    <n v="88203891"/>
    <s v="TIAGO GALHARDONE NEVES"/>
    <s v="OUT"/>
    <s v="OUTROS"/>
    <n v="6769184923"/>
    <x v="0"/>
    <s v="4068.17"/>
    <s v="922.48"/>
    <n v="766"/>
    <s v="NÃO LOCALIZADO"/>
    <s v="TELEFONES SEM ATENDIMENTO"/>
    <n v="12"/>
    <x v="9"/>
    <s v="16.25"/>
    <s v="gleise"/>
    <s v="Acima de 361"/>
    <s v="ACIONAMENTO"/>
    <x v="0"/>
  </r>
  <r>
    <s v="COGECOM"/>
    <n v="12529389"/>
    <s v="FERNANDO DA SILVA PANTOJA"/>
    <s v="OUT"/>
    <s v="OUTROS"/>
    <n v="36237566953"/>
    <x v="0"/>
    <s v="9437.39"/>
    <s v="1528.95"/>
    <n v="1424"/>
    <s v="SEM INTERESSE"/>
    <s v="NEGOCIAÇÃO VIA TELEFONE"/>
    <n v="6"/>
    <x v="10"/>
    <s v="13.20"/>
    <s v="anakeppe"/>
    <s v="Acima de 361"/>
    <s v="CPC"/>
    <x v="1"/>
  </r>
  <r>
    <s v="COGECOM"/>
    <n v="3004399838"/>
    <s v="AILTON GONÇALVES RIBEIRO"/>
    <s v="OUT"/>
    <s v="OUTROS"/>
    <n v="80704212668"/>
    <x v="0"/>
    <s v="962.31"/>
    <s v="78.72"/>
    <n v="672"/>
    <s v="NÃO LOCALIZADO"/>
    <s v="TELEFONES SEM ATENDIMENTO"/>
    <n v="6"/>
    <x v="10"/>
    <s v="16.22"/>
    <s v="gleise"/>
    <s v="Acima de 361"/>
    <s v="ACIONAMENTO"/>
    <x v="0"/>
  </r>
  <r>
    <s v="COGECOM"/>
    <n v="1390103400"/>
    <s v="ADAILDE RODRIGUES DA SILVA"/>
    <s v="OUT"/>
    <s v="OUTROS"/>
    <n v="34944788134"/>
    <x v="0"/>
    <s v="609.20"/>
    <s v="59.07"/>
    <n v="343"/>
    <s v="AG RESPOSTA 1º CONTATO"/>
    <s v="ENVIADO MSG/E-MAIL 1º CONTATO"/>
    <n v="6"/>
    <x v="10"/>
    <s v="13.38"/>
    <s v="l.quadros"/>
    <s v="181 a 360"/>
    <s v="ACIONAMENTO"/>
    <x v="4"/>
  </r>
  <r>
    <s v="COGECOM"/>
    <n v="3001374680"/>
    <s v="AFONSO DOMINGUES DA COSTA"/>
    <s v="OUT"/>
    <s v="OUTROS"/>
    <n v="26687500678"/>
    <x v="0"/>
    <s v="606.30"/>
    <s v="57.00"/>
    <n v="201"/>
    <s v="NÃO LOCALIZADO"/>
    <s v="TELEFONES SEM ATENDIMENTO"/>
    <n v="6"/>
    <x v="10"/>
    <s v="13.26"/>
    <s v="gleise"/>
    <s v="181 a 360"/>
    <s v="ACIONAMENTO"/>
    <x v="0"/>
  </r>
  <r>
    <s v="COGECOM"/>
    <n v="107726572"/>
    <s v="ALEXANDRE KOBISKI DE FARIA"/>
    <s v="OUT"/>
    <s v="OUTROS"/>
    <n v="3766177990"/>
    <x v="0"/>
    <s v="963.81"/>
    <s v="298.98"/>
    <n v="234"/>
    <s v="NÃO LOCALIZADO"/>
    <s v="TELEFONES SEM ATENDIMENTO"/>
    <n v="6"/>
    <x v="10"/>
    <s v="10.21"/>
    <s v="gleise"/>
    <s v="181 a 360"/>
    <s v="ACIONAMENTO"/>
    <x v="0"/>
  </r>
  <r>
    <s v="COGECOM"/>
    <n v="95477829"/>
    <s v="ALMIR FRANCISCO MORO"/>
    <s v="OUT"/>
    <s v="OUTROS"/>
    <n v="3215131935"/>
    <x v="0"/>
    <s v="145.51"/>
    <s v="75.91"/>
    <n v="578"/>
    <s v="SEM INTERESSE"/>
    <s v="NEGOCIAÇÃO VIA TELEFONE"/>
    <n v="6"/>
    <x v="10"/>
    <s v="11.10"/>
    <s v="anakeppe"/>
    <s v="Acima de 361"/>
    <s v="CPC"/>
    <x v="1"/>
  </r>
  <r>
    <s v="COGECOM"/>
    <n v="15449154"/>
    <s v="ANDRE GUSTAVO RIBEIRO"/>
    <s v="OUT"/>
    <s v="OUTROS"/>
    <n v="5273212146"/>
    <x v="0"/>
    <s v="361.74"/>
    <s v="39.12"/>
    <n v="268"/>
    <s v="AG RESPOSTA 1º CONTATO"/>
    <s v="ENVIADO MSG/E-MAIL 1º CONTATO"/>
    <n v="6"/>
    <x v="10"/>
    <s v="13.10"/>
    <s v="l.quadros"/>
    <s v="181 a 360"/>
    <s v="ACIONAMENTO"/>
    <x v="4"/>
  </r>
  <r>
    <s v="COGECOM"/>
    <n v="3002354506"/>
    <s v="ARLO CARLOS ALMEIDA"/>
    <s v="OUT"/>
    <s v="OUTROS"/>
    <n v="4392734633"/>
    <x v="0"/>
    <s v="866.78"/>
    <s v="113.94"/>
    <n v="276"/>
    <s v="SEM INTERESSE"/>
    <s v="NEGOCIAÇÃO VIA TELEFONE"/>
    <n v="6"/>
    <x v="10"/>
    <s v="9.33"/>
    <s v="gleise"/>
    <s v="181 a 360"/>
    <s v="CPC"/>
    <x v="1"/>
  </r>
  <r>
    <s v="COGECOM"/>
    <n v="17452650"/>
    <s v="ASMERIA EUDOXIA DAS NEVES"/>
    <s v="OUT"/>
    <s v="OUTROS"/>
    <n v="42632447100"/>
    <x v="0"/>
    <s v="48.25"/>
    <s v="48.25"/>
    <n v="354"/>
    <s v="SEM INTERESSE"/>
    <s v="NEGOCIAÇÃO VIA TELEFONE"/>
    <n v="6"/>
    <x v="10"/>
    <s v="13.40"/>
    <s v="gleise"/>
    <s v="181 a 360"/>
    <s v="CPC"/>
    <x v="1"/>
  </r>
  <r>
    <s v="COGECOM"/>
    <n v="34485767"/>
    <s v="B T K COMERCIO DE ALIMENTOS LTDA"/>
    <s v="OUT"/>
    <s v="OUTROS"/>
    <n v="6213176000108"/>
    <x v="0"/>
    <s v="9100.59"/>
    <s v="2163.24"/>
    <n v="1399"/>
    <s v="SEM INTERESSE"/>
    <s v="NEGOCIAÇÃO VIA TELEFONE"/>
    <n v="6"/>
    <x v="10"/>
    <s v="16.42"/>
    <s v="gleise"/>
    <s v="Acima de 361"/>
    <s v="CPC"/>
    <x v="1"/>
  </r>
  <r>
    <s v="COGECOM"/>
    <n v="49949740"/>
    <s v="BRAVA CAFE LTDA"/>
    <s v="OUT"/>
    <s v="OUTROS"/>
    <n v="27319644000101"/>
    <x v="0"/>
    <s v="976.99"/>
    <s v="278.75"/>
    <n v="448"/>
    <s v="SEM INTERESSE"/>
    <s v="NEGOCIAÇÃO VIA TELEFONE"/>
    <n v="6"/>
    <x v="10"/>
    <s v="9.15"/>
    <s v="anakeppe"/>
    <s v="Acima de 361"/>
    <s v="CPC"/>
    <x v="1"/>
  </r>
  <r>
    <s v="COGECOM"/>
    <n v="105733938"/>
    <s v="BRUNA RENE TAVARES NUNEZ"/>
    <s v="OUT"/>
    <s v="OUTROS"/>
    <n v="73468703287"/>
    <x v="0"/>
    <s v="629.53"/>
    <s v="261.01"/>
    <n v="433"/>
    <s v="NÃO LOCALIZADO"/>
    <s v="TELEFONES SEM ATENDIMENTO"/>
    <n v="6"/>
    <x v="10"/>
    <s v="15.21"/>
    <s v="gleise"/>
    <s v="Acima de 361"/>
    <s v="ACIONAMENTO"/>
    <x v="0"/>
  </r>
  <r>
    <s v="COGECOM"/>
    <n v="3085277892"/>
    <s v="CARINE HANG"/>
    <s v="OUT"/>
    <s v="OUTROS"/>
    <n v="5097946960"/>
    <x v="0"/>
    <s v="808.87"/>
    <s v="135.17"/>
    <n v="336"/>
    <s v="SEM INTERESSE"/>
    <s v="NEGOCIAÇÃO VIA TELEFONE"/>
    <n v="6"/>
    <x v="10"/>
    <s v="9.04"/>
    <s v="anakeppe"/>
    <s v="181 a 360"/>
    <s v="CPC"/>
    <x v="1"/>
  </r>
  <r>
    <s v="COGECOM"/>
    <n v="3090723431"/>
    <s v="CARLOS PATRIQUE LUZ NUNES"/>
    <s v="OUT"/>
    <s v="OUTROS"/>
    <n v="36865479000176"/>
    <x v="0"/>
    <s v="927.60"/>
    <s v="405.19"/>
    <n v="596"/>
    <s v="SEM INTERESSE"/>
    <s v="NEGOCIAÇÃO VIA TELEFONE"/>
    <n v="6"/>
    <x v="10"/>
    <s v="14.28"/>
    <s v="anakeppe"/>
    <s v="Acima de 361"/>
    <s v="CPC"/>
    <x v="1"/>
  </r>
  <r>
    <s v="COGECOM"/>
    <n v="83966013"/>
    <s v="CARLOS RODRIGO BAIJUK"/>
    <s v="OUT"/>
    <s v="OUTROS"/>
    <n v="2324604930"/>
    <x v="1"/>
    <s v="0.00"/>
    <s v="174.34"/>
    <n v="195"/>
    <s v="EM NEGOCIAÇÃO"/>
    <s v="ESTORNO"/>
    <n v="12"/>
    <x v="10"/>
    <s v="15.49"/>
    <s v="p.quadros"/>
    <s v="181 a 360"/>
    <s v="ACIONAMENTO"/>
    <x v="2"/>
  </r>
  <r>
    <s v="COGECOM"/>
    <n v="3006064255"/>
    <s v="CINTIA DE CASSIA BELATTO SOUZA"/>
    <s v="OUT"/>
    <s v="OUTROS"/>
    <n v="34537115807"/>
    <x v="0"/>
    <s v="325.44"/>
    <s v="126.65"/>
    <n v="371"/>
    <s v="AG RESPOSTA 1º CONTATO"/>
    <s v="ENVIADO MSG/E-MAIL 1º CONTATO"/>
    <n v="6"/>
    <x v="10"/>
    <s v="13.48"/>
    <s v="l.quadros"/>
    <s v="Acima de 361"/>
    <s v="ACIONAMENTO"/>
    <x v="4"/>
  </r>
  <r>
    <s v="COGECOM"/>
    <n v="3085330588"/>
    <s v="COMÉRCIO DE ALIMENTOS SUPER DO VALE LTDA"/>
    <s v="OUT"/>
    <s v="OUTROS"/>
    <n v="141446000136"/>
    <x v="1"/>
    <s v="0.00"/>
    <s v="694.28"/>
    <n v="384"/>
    <s v="NÃO LOCALIZADO"/>
    <s v="TELEFONES SEM ATENDIMENTO"/>
    <n v="6"/>
    <x v="10"/>
    <s v="9.04"/>
    <s v="gleise"/>
    <s v="Acima de 361"/>
    <s v="ACIONAMENTO"/>
    <x v="0"/>
  </r>
  <r>
    <s v="COGECOM"/>
    <n v="1390060175"/>
    <s v="CRISTIANE TAVARES BARCELOS"/>
    <s v="OUT"/>
    <s v="OUTROS"/>
    <n v="402015118"/>
    <x v="0"/>
    <s v="352.18"/>
    <s v="48.86"/>
    <n v="301"/>
    <s v="NÃO LOCALIZADO"/>
    <s v="TELEFONES SEM ATENDIMENTO"/>
    <n v="6"/>
    <x v="10"/>
    <s v="13.28"/>
    <s v="gleise"/>
    <s v="181 a 360"/>
    <s v="ACIONAMENTO"/>
    <x v="0"/>
  </r>
  <r>
    <s v="COGECOM"/>
    <n v="107365626"/>
    <s v="DANIELE CRISTINI BORGES FERNANDES"/>
    <s v="OUT"/>
    <s v="OUTROS"/>
    <n v="8793316909"/>
    <x v="0"/>
    <s v="455.45"/>
    <s v="85.61"/>
    <n v="583"/>
    <s v="NÃO LOCALIZADO"/>
    <s v="TELEFONES SEM ATENDIMENTO"/>
    <n v="6"/>
    <x v="10"/>
    <s v="11.06"/>
    <s v="gleise"/>
    <s v="Acima de 361"/>
    <s v="ACIONAMENTO"/>
    <x v="0"/>
  </r>
  <r>
    <s v="COGECOM"/>
    <n v="34828940"/>
    <s v="DIEGO DAL ZOT"/>
    <s v="OUT"/>
    <s v="OUTROS"/>
    <n v="5077741913"/>
    <x v="0"/>
    <s v="1600.91"/>
    <s v="1191.87"/>
    <n v="628"/>
    <s v="SEM INTERESSE"/>
    <s v="NEGOCIAÇÃO VIA TELEFONE"/>
    <n v="6"/>
    <x v="10"/>
    <s v="10.45"/>
    <s v="anakeppe"/>
    <s v="Acima de 361"/>
    <s v="CPC"/>
    <x v="1"/>
  </r>
  <r>
    <s v="COGECOM"/>
    <n v="10011610598"/>
    <s v="DIOGO BORGES FONSECA"/>
    <s v="OUT"/>
    <s v="OUTROS"/>
    <n v="533714109"/>
    <x v="0"/>
    <s v="1996.64"/>
    <s v="554.13"/>
    <n v="268"/>
    <s v="NÃO LOCALIZADO"/>
    <s v="PESQUISA NEGATIVA"/>
    <n v="6"/>
    <x v="10"/>
    <s v="9.09"/>
    <s v="anakeppe"/>
    <s v="181 a 360"/>
    <s v="ACIONAMENTO"/>
    <x v="0"/>
  </r>
  <r>
    <s v="COGECOM"/>
    <n v="3012000033"/>
    <s v="DIOGO LUCIO DE ALMEIDA"/>
    <s v="OUT"/>
    <s v="OUTROS"/>
    <n v="9133574642"/>
    <x v="0"/>
    <s v="380.13"/>
    <s v="122.25"/>
    <n v="370"/>
    <s v="NÃO LOCALIZADO"/>
    <s v="TELEFONES SEM ATENDIMENTO"/>
    <n v="6"/>
    <x v="10"/>
    <s v="13.48"/>
    <s v="gleise"/>
    <s v="Acima de 361"/>
    <s v="ACIONAMENTO"/>
    <x v="0"/>
  </r>
  <r>
    <s v="COGECOM"/>
    <n v="10035840950"/>
    <s v="DOUGLAS ALVES DA SILVA"/>
    <s v="OUT"/>
    <s v="OUTROS"/>
    <n v="521270103"/>
    <x v="0"/>
    <s v="1109.30"/>
    <s v="179.13"/>
    <n v="279"/>
    <s v="SEM INTERESSE"/>
    <s v="NEGOCIAÇÃO VIA TELEFONE"/>
    <n v="6"/>
    <x v="10"/>
    <s v="9.25"/>
    <s v="anakeppe"/>
    <s v="181 a 360"/>
    <s v="CPC"/>
    <x v="1"/>
  </r>
  <r>
    <s v="COGECOM"/>
    <n v="10030081333"/>
    <s v="EDUARDO LEANDRO DA SILVA"/>
    <s v="OUT"/>
    <s v="OUTROS"/>
    <n v="1395640122"/>
    <x v="0"/>
    <s v="329.80"/>
    <s v="34.12"/>
    <n v="237"/>
    <s v="NÃO LOCALIZADO"/>
    <s v="TELEFONES SEM ATENDIMENTO"/>
    <n v="6"/>
    <x v="10"/>
    <s v="16.28"/>
    <s v="gleise"/>
    <s v="181 a 360"/>
    <s v="ACIONAMENTO"/>
    <x v="0"/>
  </r>
  <r>
    <s v="COGECOM"/>
    <n v="3004051647"/>
    <s v="ELISANGELA CRISTINA MATIAS DA SILVA"/>
    <s v="OUT"/>
    <s v="OUTROS"/>
    <n v="1486065635"/>
    <x v="0"/>
    <s v="1303.37"/>
    <s v="237.97"/>
    <n v="427"/>
    <s v="NÃO LOCALIZADO"/>
    <s v="TELEFONES SEM ATENDIMENTO"/>
    <n v="6"/>
    <x v="10"/>
    <s v="10.33"/>
    <s v="gleise"/>
    <s v="Acima de 361"/>
    <s v="ACIONAMENTO"/>
    <x v="0"/>
  </r>
  <r>
    <s v="COGECOM"/>
    <n v="2680157959"/>
    <s v="ELIVANIA DE JESUS PINHEIRO SOUSA"/>
    <s v="OUT"/>
    <s v="OUTROS"/>
    <n v="84114983104"/>
    <x v="1"/>
    <s v="0.00"/>
    <s v="30.76"/>
    <n v="172"/>
    <s v="EM NEGOCIAÇÃO"/>
    <s v="ALTERACAO DEBITO"/>
    <n v="9"/>
    <x v="10"/>
    <s v="16.45"/>
    <s v="elizabel"/>
    <s v="91 a 180"/>
    <s v="ACIONAMENTO"/>
    <x v="2"/>
  </r>
  <r>
    <s v="COGECOM"/>
    <n v="46292936"/>
    <s v="ELLEGANCE LTDA"/>
    <s v="OUT"/>
    <s v="OUTROS"/>
    <n v="23178704000154"/>
    <x v="0"/>
    <s v="713.88"/>
    <s v="713.88"/>
    <n v="426"/>
    <s v="NÃO LOCALIZADO"/>
    <s v="TELEFONES SEM ATENDIMENTO"/>
    <n v="6"/>
    <x v="10"/>
    <s v="14.41"/>
    <s v="gleise"/>
    <s v="Acima de 361"/>
    <s v="ACIONAMENTO"/>
    <x v="0"/>
  </r>
  <r>
    <s v="COGECOM"/>
    <n v="1955020"/>
    <s v="EVERSON NOGUEIRA DE ALMEIDA"/>
    <s v="OUT"/>
    <s v="OUTROS"/>
    <n v="8788993000110"/>
    <x v="0"/>
    <s v="776.37"/>
    <s v="776.37"/>
    <n v="293"/>
    <s v="NÃO LOCALIZADO"/>
    <s v="TELEFONES SEM ATENDIMENTO"/>
    <n v="6"/>
    <x v="10"/>
    <s v="9.12"/>
    <s v="gleise"/>
    <s v="181 a 360"/>
    <s v="ACIONAMENTO"/>
    <x v="0"/>
  </r>
  <r>
    <s v="COGECOM"/>
    <n v="39995755"/>
    <s v="EVERTON MANOEL SCHIMIDT"/>
    <s v="OUT"/>
    <s v="OUTROS"/>
    <n v="5597020943"/>
    <x v="0"/>
    <s v="1784.24"/>
    <s v="367.80"/>
    <n v="266"/>
    <s v="NÃO LOCALIZADO"/>
    <s v="TELEFONES SEM ATENDIMENTO"/>
    <n v="6"/>
    <x v="10"/>
    <s v="9.19"/>
    <s v="gleise"/>
    <s v="181 a 360"/>
    <s v="ACIONAMENTO"/>
    <x v="0"/>
  </r>
  <r>
    <s v="COGECOM"/>
    <n v="11455271"/>
    <s v="FELLIPE MATHEUS DE MEDEIROS SILVA"/>
    <s v="OUT"/>
    <s v="OUTROS"/>
    <n v="5087362931"/>
    <x v="0"/>
    <s v="392.81"/>
    <s v="274.24"/>
    <n v="232"/>
    <s v="SEM INTERESSE"/>
    <s v="NEGOCIAÇÃO VIA TELEFONE"/>
    <n v="6"/>
    <x v="10"/>
    <s v="16.30"/>
    <s v="anakeppe"/>
    <s v="181 a 360"/>
    <s v="CPC"/>
    <x v="1"/>
  </r>
  <r>
    <s v="COGECOM"/>
    <n v="51140206"/>
    <s v="FERNANDO SCHELBAUER"/>
    <s v="OUT"/>
    <s v="OUTROS"/>
    <n v="7593514900"/>
    <x v="0"/>
    <s v="83.46"/>
    <s v="46.50"/>
    <n v="624"/>
    <s v="NÃO LOCALIZADO"/>
    <s v="TELEFONES SEM ATENDIMENTO"/>
    <n v="6"/>
    <x v="10"/>
    <s v="16.26"/>
    <s v="gleise"/>
    <s v="Acima de 361"/>
    <s v="ACIONAMENTO"/>
    <x v="0"/>
  </r>
  <r>
    <s v="COGECOM"/>
    <n v="3006218043"/>
    <s v="GABRIEL RIBEIRO DE CARVALHO"/>
    <s v="OUT"/>
    <s v="OUTROS"/>
    <n v="39160386649"/>
    <x v="0"/>
    <s v="571.21"/>
    <s v="323.93"/>
    <n v="441"/>
    <s v="SEM INTERESSE"/>
    <s v="NEGOCIAÇÃO VIA TELEFONE"/>
    <n v="6"/>
    <x v="10"/>
    <s v="9.12"/>
    <s v="anakeppe"/>
    <s v="Acima de 361"/>
    <s v="CPC"/>
    <x v="1"/>
  </r>
  <r>
    <s v="COGECOM"/>
    <n v="10016386319"/>
    <s v="GIANLUKA MORAES DE SOUSA"/>
    <s v="OUT"/>
    <s v="OUTROS"/>
    <n v="70029804167"/>
    <x v="0"/>
    <s v="1675.12"/>
    <s v="364.43"/>
    <n v="276"/>
    <s v="SEM INTERESSE"/>
    <s v="NEGOCIAÇÃO VIA TELEFONE"/>
    <n v="6"/>
    <x v="10"/>
    <s v="9.10"/>
    <s v="anakeppe"/>
    <s v="181 a 360"/>
    <s v="CPC"/>
    <x v="1"/>
  </r>
  <r>
    <s v="COGECOM"/>
    <n v="10019709763"/>
    <s v="GRAZIELLY FERREIRA DA SILVA"/>
    <s v="OUT"/>
    <s v="OUTROS"/>
    <n v="4801728111"/>
    <x v="0"/>
    <s v="238.26"/>
    <s v="79.98"/>
    <n v="197"/>
    <s v="SEM INTERESSE"/>
    <s v="NEGOCIAÇÃO VIA TELEFONE"/>
    <n v="6"/>
    <x v="10"/>
    <s v="10.33"/>
    <s v="anakeppe"/>
    <s v="181 a 360"/>
    <s v="CPC"/>
    <x v="1"/>
  </r>
  <r>
    <s v="COGECOM"/>
    <n v="3091481464"/>
    <s v="HIGOR ALVES RODRIGUES"/>
    <s v="OUT"/>
    <s v="OUTROS"/>
    <n v="3714511083"/>
    <x v="0"/>
    <s v="852.08"/>
    <s v="291.28"/>
    <n v="311"/>
    <s v="SEM INTERESSE"/>
    <s v="NEGOCIAÇÃO VIA TELEFONE"/>
    <n v="6"/>
    <x v="10"/>
    <s v="9.14"/>
    <s v="anakeppe"/>
    <s v="181 a 360"/>
    <s v="CPC"/>
    <x v="1"/>
  </r>
  <r>
    <s v="COGECOM"/>
    <n v="30051300"/>
    <s v="IVONIR AURÉLIO MOREIRA SACANI"/>
    <s v="OUT"/>
    <s v="OUTROS"/>
    <n v="8115811955"/>
    <x v="0"/>
    <s v="8378.60"/>
    <s v="1719.32"/>
    <n v="740"/>
    <s v="SEM INTERESSE"/>
    <s v="NEGOCIAÇÃO VIA TELEFONE"/>
    <n v="6"/>
    <x v="10"/>
    <s v="13.11"/>
    <s v="anakeppe"/>
    <s v="Acima de 361"/>
    <s v="CPC"/>
    <x v="1"/>
  </r>
  <r>
    <s v="COGECOM"/>
    <n v="95794727"/>
    <s v="JAQUES EDISON AVILA DA  SILVA"/>
    <s v="OUT"/>
    <s v="OUTROS"/>
    <n v="71678387991"/>
    <x v="1"/>
    <s v="0.00"/>
    <s v="147.93"/>
    <n v="186"/>
    <s v="ACORDO VIGENTE COLCHÃO EM DIA"/>
    <s v="ALTERACAO DEBITO"/>
    <n v="12"/>
    <x v="10"/>
    <s v="12.59"/>
    <s v="elizabel"/>
    <s v="181 a 360"/>
    <s v="ACIONAMENTO"/>
    <x v="2"/>
  </r>
  <r>
    <s v="COGECOM"/>
    <n v="80015852"/>
    <s v="JOAO MARCOS ALVES NOGUEIRA"/>
    <s v="OUT"/>
    <s v="OUTROS"/>
    <n v="2144874158"/>
    <x v="0"/>
    <s v="3547.85"/>
    <s v="594.43"/>
    <n v="387"/>
    <s v="AG RESPOSTA 1º CONTATO"/>
    <s v="ENVIADO MSG/E-MAIL 1º CONTATO"/>
    <n v="6"/>
    <x v="10"/>
    <s v="14.35"/>
    <s v="l.quadros"/>
    <s v="Acima de 361"/>
    <s v="ACIONAMENTO"/>
    <x v="4"/>
  </r>
  <r>
    <s v="COGECOM"/>
    <n v="85523640"/>
    <s v="JOAO PEDRO MIGUEL DE SOUZA"/>
    <s v="OUT"/>
    <s v="OUTROS"/>
    <n v="11222296900"/>
    <x v="0"/>
    <s v="766.09"/>
    <s v="151.39"/>
    <n v="319"/>
    <s v="NÃO LOCALIZADO"/>
    <s v="TELEFONES SEM ATENDIMENTO"/>
    <n v="6"/>
    <x v="10"/>
    <s v="16.15"/>
    <s v="gleise"/>
    <s v="181 a 360"/>
    <s v="ACIONAMENTO"/>
    <x v="0"/>
  </r>
  <r>
    <s v="COGECOM"/>
    <n v="10012380510"/>
    <s v="JOILSON JOAQUIM PEREIRA"/>
    <s v="OUT"/>
    <s v="OUTROS"/>
    <n v="408718196"/>
    <x v="0"/>
    <s v="1985.25"/>
    <s v="438.16"/>
    <n v="343"/>
    <s v="AG RESPOSTA 1º CONTATO"/>
    <s v="ENVIADO MSG/E-MAIL 1º CONTATO"/>
    <n v="6"/>
    <x v="10"/>
    <s v="15.14"/>
    <s v="l.quadros"/>
    <s v="181 a 360"/>
    <s v="ACIONAMENTO"/>
    <x v="4"/>
  </r>
  <r>
    <s v="COGECOM"/>
    <n v="3002457732"/>
    <s v="JULLIANA FRANCO VILELA ABRAHAO"/>
    <s v="OUT"/>
    <s v="OUTROS"/>
    <n v="3153076685"/>
    <x v="0"/>
    <s v="1510.67"/>
    <s v="303.53"/>
    <n v="223"/>
    <s v="NÃO LOCALIZADO"/>
    <s v="TELEFONES SEM ATENDIMENTO"/>
    <n v="6"/>
    <x v="10"/>
    <s v="15.18"/>
    <s v="gleise"/>
    <s v="181 a 360"/>
    <s v="ACIONAMENTO"/>
    <x v="0"/>
  </r>
  <r>
    <s v="COGECOM"/>
    <n v="10034038971"/>
    <s v="LAUREANA DE LIMA CRUZ"/>
    <s v="OUT"/>
    <s v="OUTROS"/>
    <n v="1715740106"/>
    <x v="0"/>
    <s v="215.17"/>
    <s v="30.76"/>
    <n v="204"/>
    <s v="SEM INTERESSE"/>
    <s v="NEGOCIAÇÃO VIA TELEFONE"/>
    <n v="6"/>
    <x v="10"/>
    <s v="9.07"/>
    <s v="anakeppe"/>
    <s v="181 a 360"/>
    <s v="CPC"/>
    <x v="1"/>
  </r>
  <r>
    <s v="COGECOM"/>
    <n v="22208217"/>
    <s v="LINZMEYER EMPREENDIMENTOS HOTELEIROS"/>
    <s v="OUT"/>
    <s v="OUTROS"/>
    <n v="4207533000108"/>
    <x v="0"/>
    <s v="1222.16"/>
    <s v="606.71"/>
    <n v="1304"/>
    <s v="SEM INTERESSE"/>
    <s v="NEGOCIAÇÃO VIA TELEFONE"/>
    <n v="6"/>
    <x v="10"/>
    <s v="13.41"/>
    <s v="anakeppe"/>
    <s v="Acima de 361"/>
    <s v="CPC"/>
    <x v="1"/>
  </r>
  <r>
    <s v="COGECOM"/>
    <n v="60077301"/>
    <s v="LUIZ GUSTAVO RUBI DE SOUZA"/>
    <s v="OUT"/>
    <s v="OUTROS"/>
    <n v="28003115841"/>
    <x v="0"/>
    <s v="1618.25"/>
    <s v="275.89"/>
    <n v="300"/>
    <s v="NÃO LOCALIZADO"/>
    <s v="TELEFONES SEM ATENDIMENTO"/>
    <n v="6"/>
    <x v="10"/>
    <s v="10.26"/>
    <s v="gleise"/>
    <s v="181 a 360"/>
    <s v="ACIONAMENTO"/>
    <x v="0"/>
  </r>
  <r>
    <s v="COGECOM"/>
    <n v="3095016001"/>
    <s v="MARA DIRLENE LOPES SILVA DE AGUIAR"/>
    <s v="OUT"/>
    <s v="OUTROS"/>
    <n v="50073770078"/>
    <x v="0"/>
    <s v="460.48"/>
    <s v="266.44"/>
    <n v="522"/>
    <s v="SEM INTERESSE"/>
    <s v="NEGOCIAÇÃO VIA TELEFONE"/>
    <n v="6"/>
    <x v="10"/>
    <s v="9.20"/>
    <s v="anakeppe"/>
    <s v="Acima de 361"/>
    <s v="CPC"/>
    <x v="1"/>
  </r>
  <r>
    <s v="COGECOM"/>
    <n v="96789433"/>
    <s v="MARCEL HENRIQUE DA ROCHA PIRES"/>
    <s v="OUT"/>
    <s v="OUTROS"/>
    <n v="6383978985"/>
    <x v="0"/>
    <s v="4208.74"/>
    <s v="1613.42"/>
    <n v="811"/>
    <s v="NÃO LOCALIZADO"/>
    <s v="TELEFONES SEM ATENDIMENTO"/>
    <n v="6"/>
    <x v="10"/>
    <s v="16.49"/>
    <s v="gleise"/>
    <s v="Acima de 361"/>
    <s v="ACIONAMENTO"/>
    <x v="0"/>
  </r>
  <r>
    <s v="COGECOM"/>
    <n v="96747226"/>
    <s v="MARIA LÚCIA SANTOS SILVA RAMALHO"/>
    <s v="OUT"/>
    <s v="OUTROS"/>
    <n v="8306533763"/>
    <x v="0"/>
    <s v="90.15"/>
    <s v="90.15"/>
    <n v="344"/>
    <s v="AG RESPOSTA 1º CONTATO"/>
    <s v="ENVIADO MSG/E-MAIL 1º CONTATO"/>
    <n v="6"/>
    <x v="10"/>
    <s v="10.08"/>
    <s v="l.quadros"/>
    <s v="181 a 360"/>
    <s v="ACIONAMENTO"/>
    <x v="4"/>
  </r>
  <r>
    <s v="COGECOM"/>
    <n v="13649784"/>
    <s v="MARIA LUZANI GOMES DA MATA"/>
    <s v="OUT"/>
    <s v="OUTROS"/>
    <n v="40158675134"/>
    <x v="0"/>
    <s v="496.77"/>
    <s v="37.44"/>
    <n v="340"/>
    <s v="NÃO LOCALIZADO"/>
    <s v="TELEFONES SEM ATENDIMENTO"/>
    <n v="6"/>
    <x v="10"/>
    <s v="9.10"/>
    <s v="gleise"/>
    <s v="181 a 360"/>
    <s v="ACIONAMENTO"/>
    <x v="0"/>
  </r>
  <r>
    <s v="COGECOM"/>
    <n v="10035793978"/>
    <s v="MARLI GOMES DA SILVA"/>
    <s v="OUT"/>
    <s v="OUTROS"/>
    <n v="42325072134"/>
    <x v="0"/>
    <s v="443.27"/>
    <s v="75.36"/>
    <n v="231"/>
    <s v="AG RESPOSTA 1º CONTATO"/>
    <s v="ENVIADO MSG/E-MAIL 1º CONTATO"/>
    <n v="6"/>
    <x v="10"/>
    <s v="10.47"/>
    <s v="l.quadros"/>
    <s v="181 a 360"/>
    <s v="ACIONAMENTO"/>
    <x v="4"/>
  </r>
  <r>
    <s v="COGECOM"/>
    <n v="3011197617"/>
    <s v="MATHEUS ROCHA"/>
    <s v="OUT"/>
    <s v="OUTROS"/>
    <n v="6494578624"/>
    <x v="0"/>
    <s v="156.38"/>
    <s v="137.06"/>
    <n v="190"/>
    <s v="SEM INTERESSE"/>
    <s v="NEGOCIAÇÃO VIA TELEFONE"/>
    <n v="6"/>
    <x v="10"/>
    <s v="16.13"/>
    <s v="gleise"/>
    <s v="181 a 360"/>
    <s v="CPC"/>
    <x v="1"/>
  </r>
  <r>
    <s v="COGECOM"/>
    <n v="3006943807"/>
    <s v="MAURICIO RIBEIRO"/>
    <s v="OUT"/>
    <s v="OUTROS"/>
    <n v="43934366600"/>
    <x v="0"/>
    <s v="583.22"/>
    <s v="337.30"/>
    <n v="420"/>
    <s v="AG RESPOSTA 1º CONTATO"/>
    <s v="ENVIADO MSG/E-MAIL 1º CONTATO"/>
    <n v="6"/>
    <x v="10"/>
    <s v="16.31"/>
    <s v="l.quadros"/>
    <s v="Acima de 361"/>
    <s v="ACIONAMENTO"/>
    <x v="4"/>
  </r>
  <r>
    <s v="COGECOM"/>
    <n v="1710150"/>
    <s v="MFL COMERCIO DE ALIMENTOS EIRELI"/>
    <s v="OUT"/>
    <s v="OUTROS"/>
    <n v="18147464000190"/>
    <x v="0"/>
    <s v="15772.37"/>
    <s v="3166.02"/>
    <n v="1683"/>
    <s v="SEM INTERESSE"/>
    <s v="NEGOCIAÇÃO VIA TELEFONE"/>
    <n v="6"/>
    <x v="10"/>
    <s v="10.42"/>
    <s v="anakeppe"/>
    <s v="Acima de 361"/>
    <s v="CPC"/>
    <x v="1"/>
  </r>
  <r>
    <s v="COGECOM"/>
    <n v="50016412"/>
    <s v="MICHELE CRISTIANE GRACZECK MENGARDA"/>
    <s v="OUT"/>
    <s v="OUTROS"/>
    <n v="4161164939"/>
    <x v="0"/>
    <s v="436.78"/>
    <s v="240.14"/>
    <n v="408"/>
    <s v="NÃO LOCALIZADO"/>
    <s v="TELEFONES SEM ATENDIMENTO"/>
    <n v="6"/>
    <x v="10"/>
    <s v="10.30"/>
    <s v="gleise"/>
    <s v="Acima de 361"/>
    <s v="ACIONAMENTO"/>
    <x v="0"/>
  </r>
  <r>
    <s v="COGECOM"/>
    <n v="3095547431"/>
    <s v="MIRIA ROSA PERANCONI"/>
    <s v="OUT"/>
    <s v="OUTROS"/>
    <n v="436646013"/>
    <x v="0"/>
    <s v="802.90"/>
    <s v="399.66"/>
    <n v="498"/>
    <s v="AG RESPOSTA 1º CONTATO"/>
    <s v="ENVIADO MSG/E-MAIL 1º CONTATO"/>
    <n v="6"/>
    <x v="10"/>
    <s v="15.52"/>
    <s v="l.quadros"/>
    <s v="Acima de 361"/>
    <s v="ACIONAMENTO"/>
    <x v="4"/>
  </r>
  <r>
    <s v="COGECOM"/>
    <n v="3013483083"/>
    <s v="NATHALIA DANIELY PEREIRA GARCIA ALVES"/>
    <s v="OUT"/>
    <s v="OUTROS"/>
    <n v="12406348628"/>
    <x v="0"/>
    <s v="271.18"/>
    <s v="111.08"/>
    <n v="348"/>
    <s v="NÃO LOCALIZADO"/>
    <s v="TELEFONES SEM ATENDIMENTO"/>
    <n v="6"/>
    <x v="10"/>
    <s v="16.18"/>
    <s v="gleise"/>
    <s v="181 a 360"/>
    <s v="ACIONAMENTO"/>
    <x v="0"/>
  </r>
  <r>
    <s v="COGECOM"/>
    <n v="24305163"/>
    <s v="NEIVA BONIFACIO"/>
    <s v="OUT"/>
    <s v="OUTROS"/>
    <n v="45506655053"/>
    <x v="0"/>
    <s v="584.61"/>
    <s v="213.33"/>
    <n v="689"/>
    <s v="SEM INTERESSE"/>
    <s v="NEGOCIAÇÃO VIA TELEFONE"/>
    <n v="6"/>
    <x v="10"/>
    <s v="10.55"/>
    <s v="anakeppe"/>
    <s v="Acima de 361"/>
    <s v="CPC"/>
    <x v="1"/>
  </r>
  <r>
    <s v="COGECOM"/>
    <n v="20382480"/>
    <s v="NILSON LOPES DE OLIVEIRA"/>
    <s v="OUT"/>
    <s v="OUTROS"/>
    <n v="50896377172"/>
    <x v="0"/>
    <s v="206.20"/>
    <s v="737.04"/>
    <n v="200"/>
    <s v="EM NEGOCIAÇÃO"/>
    <s v="NEGOCIAÇÃO VIA TELEFONE"/>
    <n v="6"/>
    <x v="10"/>
    <s v="15.30"/>
    <s v="gleise"/>
    <s v="181 a 360"/>
    <s v="CPC"/>
    <x v="2"/>
  </r>
  <r>
    <s v="COGECOM"/>
    <n v="3160009"/>
    <s v="ORLANDO BERTOLDI E CIA LTDA"/>
    <s v="OUT"/>
    <s v="OUTROS"/>
    <n v="76538412000141"/>
    <x v="0"/>
    <s v="8448.59"/>
    <s v="2355.21"/>
    <n v="1225"/>
    <s v="NÃO LOCALIZADO"/>
    <s v="TELEFONES SEM ATENDIMENTO"/>
    <n v="6"/>
    <x v="10"/>
    <s v="16.40"/>
    <s v="gleise"/>
    <s v="Acima de 361"/>
    <s v="ACIONAMENTO"/>
    <x v="0"/>
  </r>
  <r>
    <s v="COGECOM"/>
    <n v="20485300"/>
    <s v="PAULA ORIEL ROSA"/>
    <s v="OUT"/>
    <s v="OUTROS"/>
    <n v="78403774168"/>
    <x v="0"/>
    <s v="191.91"/>
    <s v="14.42"/>
    <n v="204"/>
    <s v="SEM CONDIÇÕES"/>
    <s v="NEGOCIAÇÃO VIA TELEFONE"/>
    <n v="6"/>
    <x v="10"/>
    <s v="14.12"/>
    <s v="gleise"/>
    <s v="181 a 360"/>
    <s v="CPC"/>
    <x v="3"/>
  </r>
  <r>
    <s v="COGECOM"/>
    <n v="6126030"/>
    <s v="POSTO CÓRREGO GRANDE LTDA"/>
    <s v="OUT"/>
    <s v="OUTROS"/>
    <n v="2476506000105"/>
    <x v="0"/>
    <s v="23653.03"/>
    <s v="23653.03"/>
    <n v="605"/>
    <s v="NÃO LOCALIZADO"/>
    <s v="TELEFONES SEM ATENDIMENTO"/>
    <n v="6"/>
    <x v="10"/>
    <s v="11.23"/>
    <s v="anakeppe"/>
    <s v="Acima de 361"/>
    <s v="ACIONAMENTO"/>
    <x v="0"/>
  </r>
  <r>
    <s v="COGECOM"/>
    <n v="3007403692"/>
    <s v="PRISCILLA SALVES"/>
    <s v="OUT"/>
    <s v="OUTROS"/>
    <n v="4720214606"/>
    <x v="1"/>
    <s v="0.00"/>
    <s v="156.86"/>
    <n v="195"/>
    <s v="SEM INTERESSE"/>
    <s v="ALTERACAO DEBITO"/>
    <n v="22"/>
    <x v="10"/>
    <s v="17.21"/>
    <s v="elizabel"/>
    <s v="181 a 360"/>
    <s v="ACIONAMENTO"/>
    <x v="1"/>
  </r>
  <r>
    <s v="COGECOM"/>
    <n v="40559310"/>
    <s v="RAIMUNDO DA SILVA NASCIMENTO"/>
    <s v="OUT"/>
    <s v="OUTROS"/>
    <n v="39391540325"/>
    <x v="1"/>
    <s v="0.00"/>
    <s v="109.69"/>
    <n v="197"/>
    <m/>
    <s v="ALTERACAO DEBITO"/>
    <n v="9999"/>
    <x v="10"/>
    <s v="16.46"/>
    <s v="elizabel"/>
    <s v="181 a 360"/>
    <s v="ACIONAMENTO"/>
    <x v="4"/>
  </r>
  <r>
    <s v="COGECOM"/>
    <n v="54747306"/>
    <s v="ROBERTA FARIAS DE LIMA"/>
    <s v="OUT"/>
    <s v="OUTROS"/>
    <n v="10347696937"/>
    <x v="0"/>
    <s v="235.80"/>
    <s v="43.63"/>
    <n v="213"/>
    <s v="SEM INTERESSE"/>
    <s v="NEGOCIAÇÃO VIA TELEFONE"/>
    <n v="6"/>
    <x v="10"/>
    <s v="14.16"/>
    <s v="gleise"/>
    <s v="181 a 360"/>
    <s v="CPC"/>
    <x v="1"/>
  </r>
  <r>
    <s v="COGECOM"/>
    <n v="3095742811"/>
    <s v="ROBERTO MARQUES FILHO"/>
    <s v="OUT"/>
    <s v="OUTROS"/>
    <n v="48427748000"/>
    <x v="0"/>
    <s v="500.33"/>
    <s v="698.22"/>
    <n v="386"/>
    <s v="SEM INTERESSE"/>
    <s v="NEGOCIAÇÃO VIA TELEFONE"/>
    <n v="6"/>
    <x v="10"/>
    <s v="10.54"/>
    <s v="anakeppe"/>
    <s v="Acima de 361"/>
    <s v="CPC"/>
    <x v="1"/>
  </r>
  <r>
    <s v="COGECOM"/>
    <n v="3081820203"/>
    <s v="ROBERTO TESSELE DA SILVA"/>
    <s v="OUT"/>
    <s v="OUTROS"/>
    <n v="30926564072"/>
    <x v="0"/>
    <s v="673.10"/>
    <s v="441.67"/>
    <n v="354"/>
    <s v="SEM INTERESSE"/>
    <s v="NEGOCIAÇÃO VIA TELEFONE"/>
    <n v="6"/>
    <x v="10"/>
    <s v="9.09"/>
    <s v="anakeppe"/>
    <s v="181 a 360"/>
    <s v="CPC"/>
    <x v="1"/>
  </r>
  <r>
    <s v="COGECOM"/>
    <n v="63579677"/>
    <s v="SAUL MARCELO OTTO CIA LTDA ME"/>
    <s v="OUT"/>
    <s v="OUTROS"/>
    <n v="72263551000159"/>
    <x v="0"/>
    <s v="640.47"/>
    <s v="640.47"/>
    <n v="992"/>
    <s v="SEM INTERESSE"/>
    <s v="NEGOCIAÇÃO VIA TELEFONE"/>
    <n v="6"/>
    <x v="10"/>
    <s v="10.47"/>
    <s v="anakeppe"/>
    <s v="Acima de 361"/>
    <s v="CPC"/>
    <x v="1"/>
  </r>
  <r>
    <s v="COGECOM"/>
    <n v="3085068493"/>
    <s v="SELMAR PAULO ORTH"/>
    <s v="OUT"/>
    <s v="OUTROS"/>
    <n v="90489519091"/>
    <x v="0"/>
    <s v="5207.42"/>
    <s v="411.85"/>
    <n v="574"/>
    <s v="SEM INTERESSE"/>
    <s v="NEGOCIAÇÃO VIA TELEFONE"/>
    <n v="6"/>
    <x v="10"/>
    <s v="10.49"/>
    <s v="anakeppe"/>
    <s v="Acima de 361"/>
    <s v="CPC"/>
    <x v="1"/>
  </r>
  <r>
    <s v="COGECOM"/>
    <n v="87014904"/>
    <s v="SERGIO ANTÔNIO ALVES MIRANDA ME"/>
    <s v="OUT"/>
    <s v="OUTROS"/>
    <n v="7844179000102"/>
    <x v="0"/>
    <s v="4634.59"/>
    <s v="2114.67"/>
    <n v="1062"/>
    <s v="SEM INTERESSE"/>
    <s v="NEGOCIAÇÃO VIA TELEFONE"/>
    <n v="6"/>
    <x v="10"/>
    <s v="10.44"/>
    <s v="anakeppe"/>
    <s v="Acima de 361"/>
    <s v="CPC"/>
    <x v="1"/>
  </r>
  <r>
    <s v="COGECOM"/>
    <n v="66402433"/>
    <s v="SHARMILA PATRICIA PEREIRA"/>
    <s v="OUT"/>
    <s v="OUTROS"/>
    <n v="5870110920"/>
    <x v="0"/>
    <s v="914.97"/>
    <s v="207.22"/>
    <n v="266"/>
    <s v="SEM INTERESSE"/>
    <s v="NEGOCIAÇÃO VIA TELEFONE"/>
    <n v="6"/>
    <x v="10"/>
    <s v="9.24"/>
    <s v="anakeppe"/>
    <s v="181 a 360"/>
    <s v="CPC"/>
    <x v="1"/>
  </r>
  <r>
    <s v="COGECOM"/>
    <n v="3085705067"/>
    <s v="SUZANA DOROTHEA ALMEIDA FLORES"/>
    <s v="OUT"/>
    <s v="OUTROS"/>
    <n v="3197278070"/>
    <x v="0"/>
    <s v="452.33"/>
    <s v="210.37"/>
    <n v="379"/>
    <s v="SEM INTERESSE"/>
    <s v="NEGOCIAÇÃO VIA TELEFONE"/>
    <n v="6"/>
    <x v="10"/>
    <s v="14.21"/>
    <s v="gleise"/>
    <s v="Acima de 361"/>
    <s v="CPC"/>
    <x v="1"/>
  </r>
  <r>
    <s v="COGECOM"/>
    <n v="3090561925"/>
    <s v="TAIANE DE SOUZA PERUCI"/>
    <s v="OUT"/>
    <s v="OUTROS"/>
    <n v="3975354062"/>
    <x v="0"/>
    <s v="1748.71"/>
    <s v="748.09"/>
    <n v="319"/>
    <s v="SEM INTERESSE"/>
    <s v="NEGOCIAÇÃO VIA TELEFONE"/>
    <n v="6"/>
    <x v="10"/>
    <s v="9.13"/>
    <s v="anakeppe"/>
    <s v="181 a 360"/>
    <s v="CPC"/>
    <x v="1"/>
  </r>
  <r>
    <s v="COGECOM"/>
    <n v="3006201278"/>
    <s v="TATIANA APARECIDA DIAS"/>
    <s v="OUT"/>
    <s v="OUTROS"/>
    <n v="6992391682"/>
    <x v="0"/>
    <s v="304.15"/>
    <s v="246.36"/>
    <n v="369"/>
    <s v="SEM INTERESSE"/>
    <s v="NEGOCIAÇÃO VIA TELEFONE"/>
    <n v="6"/>
    <x v="10"/>
    <s v="16.31"/>
    <s v="anakeppe"/>
    <s v="Acima de 361"/>
    <s v="CPC"/>
    <x v="1"/>
  </r>
  <r>
    <s v="COGECOM"/>
    <n v="50417484"/>
    <s v="TATIANA DOS REIS LEAL"/>
    <s v="OUT"/>
    <s v="OUTROS"/>
    <n v="90314476091"/>
    <x v="0"/>
    <s v="213.15"/>
    <s v="105.02"/>
    <n v="201"/>
    <s v="NÃO LOCALIZADO"/>
    <s v="TELEFONES SEM ATENDIMENTO"/>
    <n v="6"/>
    <x v="10"/>
    <s v="10.59"/>
    <s v="gleise"/>
    <s v="181 a 360"/>
    <s v="ACIONAMENTO"/>
    <x v="0"/>
  </r>
  <r>
    <s v="COGECOM"/>
    <n v="10023281039"/>
    <s v="THAIS CARVALHO SOLINO DE SOUZA"/>
    <s v="OUT"/>
    <s v="OUTROS"/>
    <n v="5758159301"/>
    <x v="0"/>
    <s v="88.02"/>
    <s v="51.19"/>
    <n v="367"/>
    <s v="SEM INTERESSE"/>
    <s v="NEGOCIAÇÃO VIA TELEFONE"/>
    <n v="6"/>
    <x v="10"/>
    <s v="9.06"/>
    <s v="anakeppe"/>
    <s v="Acima de 361"/>
    <s v="CPC"/>
    <x v="1"/>
  </r>
  <r>
    <s v="COGECOM"/>
    <n v="48537405"/>
    <s v="TIAGO TRUJILLO DA CUNHA"/>
    <s v="OUT"/>
    <s v="OUTROS"/>
    <n v="1111411093"/>
    <x v="0"/>
    <s v="276.40"/>
    <s v="100.20"/>
    <n v="311"/>
    <s v="SEM INTERESSE"/>
    <s v="NEGOCIAÇÃO VIA TELEFONE"/>
    <n v="6"/>
    <x v="10"/>
    <s v="10.32"/>
    <s v="anakeppe"/>
    <s v="181 a 360"/>
    <s v="CPC"/>
    <x v="1"/>
  </r>
  <r>
    <s v="COGECOM"/>
    <n v="71020977"/>
    <s v="VALMOR PEDROSO DOS SANTOS"/>
    <s v="OUT"/>
    <s v="OUTROS"/>
    <n v="44007094934"/>
    <x v="0"/>
    <s v="1534.45"/>
    <s v="61.43"/>
    <n v="700"/>
    <s v="SEM INTERESSE"/>
    <s v="NEGOCIAÇÃO VIA TELEFONE"/>
    <n v="6"/>
    <x v="10"/>
    <s v="11.10"/>
    <s v="anakeppe"/>
    <s v="Acima de 361"/>
    <s v="CPC"/>
    <x v="1"/>
  </r>
  <r>
    <s v="COGECOM"/>
    <n v="20106301"/>
    <s v="VOLNEI JOSÉ BENTO"/>
    <s v="OUT"/>
    <s v="OUTROS"/>
    <n v="71661328920"/>
    <x v="0"/>
    <s v="1103.51"/>
    <s v="345.53"/>
    <n v="318"/>
    <s v="SEM INTERESSE"/>
    <s v="NEGOCIAÇÃO VIA TELEFONE"/>
    <n v="6"/>
    <x v="10"/>
    <s v="10.52"/>
    <s v="anakeppe"/>
    <s v="181 a 360"/>
    <s v="CPC"/>
    <x v="1"/>
  </r>
  <r>
    <s v="COGECOM"/>
    <n v="107555921"/>
    <s v="WALTER FABRÍCIO BORRI JUNIOR"/>
    <s v="OUT"/>
    <s v="OUTROS"/>
    <n v="6744046969"/>
    <x v="0"/>
    <s v="1680.13"/>
    <s v="370.42"/>
    <n v="363"/>
    <s v="NÃO LOCALIZADO"/>
    <s v="TELEFONES SEM ATENDIMENTO"/>
    <n v="6"/>
    <x v="10"/>
    <s v="14.56"/>
    <s v="gleise"/>
    <s v="Acima de 361"/>
    <s v="ACIONAMENTO"/>
    <x v="0"/>
  </r>
  <r>
    <s v="COGECOM"/>
    <n v="3015096386"/>
    <s v="WESLEY RODRIGUES DE SOUZA"/>
    <s v="OUT"/>
    <s v="OUTROS"/>
    <n v="11108682600"/>
    <x v="0"/>
    <s v="915.15"/>
    <s v="162.09"/>
    <n v="276"/>
    <m/>
    <s v="TELEFONES SEM ATENDIMENTO"/>
    <n v="6"/>
    <x v="10"/>
    <s v="14.22"/>
    <s v="gleise"/>
    <s v="181 a 360"/>
    <s v="ACIONAMENTO"/>
    <x v="4"/>
  </r>
  <r>
    <s v="COGECOM"/>
    <n v="103621571"/>
    <s v="WILLIAN DA SIVA LOURENCO"/>
    <s v="OUT"/>
    <s v="OUTROS"/>
    <n v="5006661992"/>
    <x v="1"/>
    <s v="0.00"/>
    <s v="129.23"/>
    <n v="194"/>
    <s v="EM NEGOCIAÇÃO"/>
    <s v="ALTERACAO DEBITO"/>
    <n v="8"/>
    <x v="10"/>
    <s v="12.58"/>
    <s v="elizabel"/>
    <s v="181 a 360"/>
    <s v="ACIONAMENTO"/>
    <x v="2"/>
  </r>
  <r>
    <s v="COGECOM"/>
    <n v="30215303"/>
    <s v="GILBERTO MEURER"/>
    <s v="OUT"/>
    <s v="OUTROS"/>
    <n v="1959860917"/>
    <x v="0"/>
    <s v="3001.55"/>
    <s v="3001.55"/>
    <n v="615"/>
    <s v="NÃO LOCALIZADO"/>
    <s v="TELEFONES SEM ATENDIMENTO"/>
    <n v="6"/>
    <x v="10"/>
    <s v="16.38"/>
    <s v="gleise"/>
    <s v="Acima de 361"/>
    <s v="ACIONAMENTO"/>
    <x v="0"/>
  </r>
  <r>
    <s v="COGECOM"/>
    <n v="3085037987"/>
    <s v="NEIR MATEUS PAIXÃO"/>
    <s v="OUT"/>
    <s v="OUTROS"/>
    <n v="21014914000"/>
    <x v="1"/>
    <s v="0.00"/>
    <s v="897.71"/>
    <n v="385"/>
    <s v="SEM INTERESSE"/>
    <s v="NEGOCIAÇÃO VIA TELEFONE"/>
    <n v="6"/>
    <x v="10"/>
    <s v="9.04"/>
    <s v="anakeppe"/>
    <s v="Acima de 361"/>
    <s v="CPC"/>
    <x v="1"/>
  </r>
  <r>
    <s v="COGECOM"/>
    <n v="105132586"/>
    <s v="CONDOMINIO UNIQUE RESIDENCE"/>
    <s v="OUT"/>
    <s v="OUTROS"/>
    <n v="33990535000106"/>
    <x v="0"/>
    <s v="2825.14"/>
    <s v="444.31"/>
    <n v="182"/>
    <s v="NÃO LOCALIZADO"/>
    <s v="TELEFONES SEM ATENDIMENTO"/>
    <n v="6"/>
    <x v="10"/>
    <s v="14.54"/>
    <s v="gleise"/>
    <s v="181 a 360"/>
    <s v="ACIONAMENTO"/>
    <x v="0"/>
  </r>
  <r>
    <s v="COGECOM"/>
    <n v="3005425347"/>
    <s v="JOAO PAULO DE SOUZA BARBOSA"/>
    <s v="OUT"/>
    <s v="OUTROS"/>
    <n v="30666661820"/>
    <x v="0"/>
    <s v="697.98"/>
    <s v="401.99"/>
    <n v="171"/>
    <s v="SEM INTERESSE"/>
    <s v="NEGOCIAÇÃO VIA TELEFONE"/>
    <n v="6"/>
    <x v="10"/>
    <s v="14.23"/>
    <s v="gleise"/>
    <s v="91 a 180"/>
    <s v="CPC"/>
    <x v="1"/>
  </r>
  <r>
    <s v="COGECOM"/>
    <n v="3011102534"/>
    <s v="ADEMICIO ANTONIO GAMA"/>
    <s v="OUT"/>
    <s v="OUTROS"/>
    <n v="76779670600"/>
    <x v="0"/>
    <s v="576.09"/>
    <s v="204.23"/>
    <n v="191"/>
    <s v="NÃO LOCALIZADO"/>
    <s v="TELEFONES SEM ATENDIMENTO"/>
    <n v="6"/>
    <x v="10"/>
    <s v="9.06"/>
    <s v="gleise"/>
    <s v="181 a 360"/>
    <s v="ACIONAMENTO"/>
    <x v="0"/>
  </r>
  <r>
    <s v="COGECOM"/>
    <n v="4002707768"/>
    <s v="FERNANDO RODRIGUES PEREIRA"/>
    <s v="OUT"/>
    <s v="OUTROS"/>
    <n v="69962111072"/>
    <x v="0"/>
    <s v="354.02"/>
    <s v="180.02"/>
    <n v="172"/>
    <s v="NÃO LOCALIZADO"/>
    <s v="PESQUISA NEGATIVA"/>
    <n v="6"/>
    <x v="10"/>
    <s v="16.32"/>
    <s v="anakeppe"/>
    <s v="91 a 180"/>
    <s v="ACIONAMENTO"/>
    <x v="0"/>
  </r>
  <r>
    <s v="COGECOM"/>
    <n v="3012341939"/>
    <s v="MARCIO NOGUEIRA"/>
    <s v="OUT"/>
    <s v="OUTROS"/>
    <n v="5473522637"/>
    <x v="1"/>
    <s v="0.00"/>
    <s v="175.05"/>
    <n v="162"/>
    <s v="SEM INTERESSE"/>
    <s v="NEGOCIAÇÃO VIA TELEFONE"/>
    <n v="6"/>
    <x v="10"/>
    <s v="14.27"/>
    <s v="gleise"/>
    <s v="91 a 180"/>
    <s v="CPC"/>
    <x v="1"/>
  </r>
  <r>
    <s v="COGECOM"/>
    <n v="26594049"/>
    <s v="LUCIANO ROSA ROCHADEL DE OLIVEIRA"/>
    <s v="OUT"/>
    <s v="OUTROS"/>
    <n v="348415982"/>
    <x v="0"/>
    <s v="447.75"/>
    <s v="171.45"/>
    <n v="163"/>
    <s v="NÃO LOCALIZADO"/>
    <s v="TELEFONES SEM ATENDIMENTO"/>
    <n v="6"/>
    <x v="10"/>
    <s v="10.23"/>
    <s v="gleise"/>
    <s v="91 a 180"/>
    <s v="ACIONAMENTO"/>
    <x v="0"/>
  </r>
  <r>
    <s v="COGECOM"/>
    <n v="103282580"/>
    <s v="AILTON RIBEIRO CAMPOS"/>
    <s v="OUT"/>
    <s v="OUTROS"/>
    <n v="96839457915"/>
    <x v="0"/>
    <s v="868.42"/>
    <s v="162.98"/>
    <n v="461"/>
    <s v="NÃO LOCALIZADO"/>
    <s v="TELEFONES SEM ATENDIMENTO"/>
    <n v="6"/>
    <x v="10"/>
    <s v="10.49"/>
    <s v="gleise"/>
    <s v="Acima de 361"/>
    <s v="ACIONAMENTO"/>
    <x v="0"/>
  </r>
  <r>
    <s v="COGECOM"/>
    <n v="3085225857"/>
    <s v="GLAUBER FRARE"/>
    <s v="OUT"/>
    <s v="OUTROS"/>
    <n v="85889024"/>
    <x v="0"/>
    <s v="873.94"/>
    <s v="157.21"/>
    <n v="178"/>
    <s v="SEM INTERESSE"/>
    <s v="NEGOCIAÇÃO VIA TELEFONE"/>
    <n v="6"/>
    <x v="10"/>
    <s v="9.26"/>
    <s v="anakeppe"/>
    <s v="91 a 180"/>
    <s v="CPC"/>
    <x v="1"/>
  </r>
  <r>
    <s v="COGECOM"/>
    <n v="3005318749"/>
    <s v="KARINE FREITAS DA SILVA"/>
    <s v="OUT"/>
    <s v="OUTROS"/>
    <n v="10482751673"/>
    <x v="0"/>
    <s v="546.65"/>
    <s v="150.75"/>
    <n v="174"/>
    <s v="SEM INTERESSE"/>
    <s v="NEGOCIAÇÃO VIA TELEFONE"/>
    <n v="6"/>
    <x v="10"/>
    <s v="10.51"/>
    <s v="gleise"/>
    <s v="91 a 180"/>
    <s v="CPC"/>
    <x v="1"/>
  </r>
  <r>
    <s v="COGECOM"/>
    <n v="26177898"/>
    <s v="ALEXANDRE DA CONCEICAO"/>
    <s v="OUT"/>
    <s v="OUTROS"/>
    <n v="61872814700"/>
    <x v="1"/>
    <s v="0.00"/>
    <s v="137.02"/>
    <n v="180"/>
    <s v="ACORDO VIGENTE COLCHÃO EM DIA"/>
    <s v="ALTERACAO DEBITO"/>
    <n v="13"/>
    <x v="10"/>
    <s v="12.59"/>
    <s v="elizabel"/>
    <s v="91 a 180"/>
    <s v="ACIONAMENTO"/>
    <x v="2"/>
  </r>
  <r>
    <s v="COGECOM"/>
    <n v="10025270344"/>
    <s v="GREICIANO MARQUES LOPES ALVES"/>
    <s v="OUT"/>
    <s v="OUTROS"/>
    <n v="1324525100"/>
    <x v="0"/>
    <s v="330.18"/>
    <s v="132.87"/>
    <n v="181"/>
    <s v="NÃO LOCALIZADO"/>
    <s v="TELEFONES SEM ATENDIMENTO"/>
    <n v="6"/>
    <x v="10"/>
    <s v="16.17"/>
    <s v="gleise"/>
    <s v="181 a 360"/>
    <s v="ACIONAMENTO"/>
    <x v="0"/>
  </r>
  <r>
    <s v="COGECOM"/>
    <n v="10024086485"/>
    <s v="ANA CRISTINA SOUSA COSTA"/>
    <s v="OUT"/>
    <s v="OUTROS"/>
    <n v="1637609183"/>
    <x v="0"/>
    <s v="750.84"/>
    <s v="227.39"/>
    <n v="175"/>
    <s v="AG RESPOSTA 1º CONTATO"/>
    <s v="ENVIADO MSG/E-MAIL 1º CONTATO"/>
    <n v="6"/>
    <x v="10"/>
    <s v="17.12"/>
    <s v="l.quadros"/>
    <s v="91 a 180"/>
    <s v="ACIONAMENTO"/>
    <x v="4"/>
  </r>
  <r>
    <s v="COGECOM"/>
    <n v="770017332"/>
    <s v="ELIETH JUNQUEIRA"/>
    <s v="OUT"/>
    <s v="OUTROS"/>
    <n v="62558080172"/>
    <x v="0"/>
    <s v="10091.07"/>
    <s v="1235.56"/>
    <n v="320"/>
    <s v="SEM INTERESSE"/>
    <s v="NEGOCIAÇÃO VIA TELEFONE"/>
    <n v="6"/>
    <x v="10"/>
    <s v="14.18"/>
    <s v="anakeppe"/>
    <s v="181 a 360"/>
    <s v="CPC"/>
    <x v="1"/>
  </r>
  <r>
    <s v="COGECOM"/>
    <n v="3095798440"/>
    <s v="JAIR BORGES"/>
    <s v="OUT"/>
    <s v="OUTROS"/>
    <n v="64400646068"/>
    <x v="0"/>
    <s v="6109.70"/>
    <s v="6109.70"/>
    <n v="315"/>
    <s v="SEM INTERESSE"/>
    <s v="NEGOCIAÇÃO VIA TELEFONE"/>
    <n v="6"/>
    <x v="10"/>
    <s v="11.23"/>
    <s v="anakeppe"/>
    <s v="181 a 360"/>
    <s v="CPC"/>
    <x v="1"/>
  </r>
  <r>
    <s v="COGECOM"/>
    <n v="78860709"/>
    <s v="LEILA CRISTINA FAVRETTO DOS SANTOS PICCININ"/>
    <s v="OUT"/>
    <s v="OUTROS"/>
    <n v="2069003922"/>
    <x v="0"/>
    <s v="872.10"/>
    <s v="425.72"/>
    <n v="156"/>
    <s v="NÃO LOCALIZADO"/>
    <s v="TELEFONES SEM ATENDIMENTO"/>
    <n v="6"/>
    <x v="10"/>
    <s v="9.17"/>
    <s v="gleise"/>
    <s v="91 a 180"/>
    <s v="ACIONAMENTO"/>
    <x v="0"/>
  </r>
  <r>
    <s v="COGECOM"/>
    <n v="97997846"/>
    <s v="LUZINEIA VIEIRA ZACARKIM DOS SANTOS"/>
    <s v="OUT"/>
    <s v="OUTROS"/>
    <n v="9546190993"/>
    <x v="0"/>
    <s v="582.52"/>
    <s v="291.26"/>
    <n v="147"/>
    <s v="SEM CONDIÇÕES"/>
    <s v="NEGOCIAÇÃO VIA TELEFONE"/>
    <n v="6"/>
    <x v="10"/>
    <s v="16.48"/>
    <s v="l.quadros"/>
    <s v="91 a 180"/>
    <s v="CPC"/>
    <x v="3"/>
  </r>
  <r>
    <s v="COGECOM"/>
    <n v="3004401375"/>
    <s v="WALMIR ALVES DA SILVA"/>
    <s v="OUT"/>
    <s v="OUTROS"/>
    <n v="59513594653"/>
    <x v="0"/>
    <s v="263.12"/>
    <s v="101.68"/>
    <n v="150"/>
    <m/>
    <s v="SOLICITAR EXTINÇÃO DA AÇÃO"/>
    <n v="9999"/>
    <x v="10"/>
    <s v="14.31"/>
    <s v="anakeppe"/>
    <s v="91 a 180"/>
    <s v="ACIONAMENTO"/>
    <x v="4"/>
  </r>
  <r>
    <s v="COGECOM"/>
    <n v="3013224060"/>
    <s v="JOAO VITOR BIANCASTELLI CAMPOS"/>
    <s v="OUT"/>
    <s v="OUTROS"/>
    <n v="6089536601"/>
    <x v="0"/>
    <s v="393.19"/>
    <s v="63.18"/>
    <n v="153"/>
    <s v="SEM INTERESSE"/>
    <s v="NEGOCIAÇÃO VIA TELEFONE"/>
    <n v="6"/>
    <x v="10"/>
    <s v="10.41"/>
    <s v="anakeppe"/>
    <s v="91 a 180"/>
    <s v="CPC"/>
    <x v="1"/>
  </r>
  <r>
    <s v="COGECOM"/>
    <n v="62171658"/>
    <s v="SUELI APARECIDA WOLF"/>
    <s v="OUT"/>
    <s v="OUTROS"/>
    <n v="75534851953"/>
    <x v="0"/>
    <s v="0.00"/>
    <s v="238.35"/>
    <n v="131"/>
    <s v="SEM INTERESSE"/>
    <s v="ESTORNO"/>
    <n v="12"/>
    <x v="10"/>
    <s v="15.05"/>
    <s v="p.quadros"/>
    <s v="91 a 180"/>
    <s v="ACIONAMENTO"/>
    <x v="1"/>
  </r>
  <r>
    <s v="COGECOM"/>
    <n v="84424702"/>
    <s v="CELIO ALVES MARTINS"/>
    <s v="OUT"/>
    <s v="OUTROS"/>
    <n v="48341398915"/>
    <x v="0"/>
    <s v="1867.11"/>
    <s v="236.67"/>
    <n v="128"/>
    <s v="SEM INTERESSE"/>
    <s v="NEGOCIAÇÃO VIA TELEFONE"/>
    <n v="6"/>
    <x v="10"/>
    <s v="14.36"/>
    <s v="gleise"/>
    <s v="91 a 180"/>
    <s v="CPC"/>
    <x v="1"/>
  </r>
  <r>
    <s v="COGECOM"/>
    <n v="11421976"/>
    <s v="THALYTA THAIRYNE SILVA FRANCA VENTURA"/>
    <s v="OUT"/>
    <s v="OUTROS"/>
    <n v="4927849147"/>
    <x v="0"/>
    <s v="517.48"/>
    <s v="224.04"/>
    <n v="134"/>
    <s v="SEM INTERESSE"/>
    <s v="NEGOCIAÇÃO VIA TELEFONE"/>
    <n v="6"/>
    <x v="10"/>
    <s v="9.23"/>
    <s v="anakeppe"/>
    <s v="91 a 180"/>
    <s v="CPC"/>
    <x v="1"/>
  </r>
  <r>
    <s v="COGECOM"/>
    <n v="5125952"/>
    <s v="MARCELO APARECIDO FANELA"/>
    <s v="OUT"/>
    <s v="OUTROS"/>
    <n v="2225678995"/>
    <x v="0"/>
    <s v="353.02"/>
    <s v="201.67"/>
    <n v="130"/>
    <s v="NÃO LOCALIZADO"/>
    <s v="TELEFONES SEM ATENDIMENTO"/>
    <n v="6"/>
    <x v="10"/>
    <s v="10.38"/>
    <s v="gleise"/>
    <s v="91 a 180"/>
    <s v="ACIONAMENTO"/>
    <x v="0"/>
  </r>
  <r>
    <s v="COGECOM"/>
    <n v="16571265"/>
    <s v="ESMERALDA DAS NEVES COSTA"/>
    <s v="OUT"/>
    <s v="OUTROS"/>
    <n v="86999621187"/>
    <x v="0"/>
    <s v="335.13"/>
    <s v="138.50"/>
    <n v="141"/>
    <s v="SEM INTERESSE"/>
    <s v="NEGOCIAÇÃO VIA TELEFONE"/>
    <n v="6"/>
    <x v="10"/>
    <s v="11.05"/>
    <s v="anakeppe"/>
    <s v="91 a 180"/>
    <s v="CPC"/>
    <x v="1"/>
  </r>
  <r>
    <s v="COGECOM"/>
    <n v="120438847"/>
    <s v="FABIO ROBERTO RIBEIRO DA SILVA"/>
    <s v="OUT"/>
    <s v="OUTROS"/>
    <n v="28818789899"/>
    <x v="0"/>
    <s v="178.58"/>
    <s v="112.35"/>
    <n v="132"/>
    <s v="SEM INTERESSE"/>
    <s v="NEGOCIAÇÃO VIA TELEFONE"/>
    <n v="6"/>
    <x v="10"/>
    <s v="10.32"/>
    <s v="anakeppe"/>
    <s v="91 a 180"/>
    <s v="CPC"/>
    <x v="1"/>
  </r>
  <r>
    <s v="COGECOM"/>
    <n v="3004189299"/>
    <s v="FLAVIA OLIVEIRA SOARES SILVA"/>
    <s v="OUT"/>
    <s v="OUTROS"/>
    <n v="4457940623"/>
    <x v="0"/>
    <s v="207.23"/>
    <s v="97.19"/>
    <n v="143"/>
    <s v="NÃO LOCALIZADO"/>
    <s v="TELEFONES SEM ATENDIMENTO"/>
    <n v="6"/>
    <x v="10"/>
    <s v="14.39"/>
    <s v="gleise"/>
    <s v="91 a 180"/>
    <s v="ACIONAMENTO"/>
    <x v="0"/>
  </r>
  <r>
    <s v="COGECOM"/>
    <n v="4001370826"/>
    <s v="ROBSON ROBERTO DE CARVALHO"/>
    <s v="OUT"/>
    <s v="OUTROS"/>
    <n v="16708566826"/>
    <x v="0"/>
    <s v="194.02"/>
    <s v="87.55"/>
    <n v="143"/>
    <s v="NÃO LOCALIZADO"/>
    <s v="TELEFONES SEM ATENDIMENTO"/>
    <n v="6"/>
    <x v="10"/>
    <s v="9.08"/>
    <s v="gleise"/>
    <s v="91 a 180"/>
    <s v="ACIONAMENTO"/>
    <x v="0"/>
  </r>
  <r>
    <s v="COGECOM"/>
    <n v="91222745"/>
    <s v="KEILA PINNA VALENSUELA"/>
    <s v="OUT"/>
    <s v="OUTROS"/>
    <n v="22424529833"/>
    <x v="0"/>
    <s v="267.37"/>
    <s v="139.61"/>
    <n v="96"/>
    <s v="SEM INTERESSE"/>
    <s v="NEGOCIAÇÃO VIA TELEFONE"/>
    <n v="6"/>
    <x v="10"/>
    <s v="9.27"/>
    <s v="anakeppe"/>
    <s v="91 a 180"/>
    <s v="CPC"/>
    <x v="1"/>
  </r>
  <r>
    <s v="COGECOM"/>
    <n v="10786163"/>
    <s v="PIEPO &amp; PIEPO LTDA"/>
    <s v="OUT"/>
    <s v="OUTROS"/>
    <n v="72067309000100"/>
    <x v="0"/>
    <s v="12711.90"/>
    <s v="2416.31"/>
    <n v="172"/>
    <s v="SEM INTERESSE"/>
    <s v="NEGOCIAÇÃO VIA TELEFONE"/>
    <n v="6"/>
    <x v="10"/>
    <s v="14.47"/>
    <s v="gleise"/>
    <s v="91 a 180"/>
    <s v="CPC"/>
    <x v="1"/>
  </r>
  <r>
    <s v="COGECOM"/>
    <n v="98777092"/>
    <s v="RESIDENCIAL LOS ANGELES"/>
    <s v="OUT"/>
    <s v="OUTROS"/>
    <n v="23158952000133"/>
    <x v="0"/>
    <s v="545.20"/>
    <s v="545.20"/>
    <n v="177"/>
    <s v="NÃO LOCALIZADO"/>
    <s v="TELEFONES SEM ATENDIMENTO"/>
    <n v="6"/>
    <x v="10"/>
    <s v="14.51"/>
    <s v="gleise"/>
    <s v="91 a 180"/>
    <s v="ACIONAMENTO"/>
    <x v="0"/>
  </r>
  <r>
    <s v="COGECOM"/>
    <n v="54953739"/>
    <s v="EDSON COELHO"/>
    <s v="OUT"/>
    <s v="OUTROS"/>
    <n v="6421897908"/>
    <x v="0"/>
    <s v="6884.01"/>
    <s v="2706.83"/>
    <n v="181"/>
    <s v="SEM INTERESSE"/>
    <s v="NEGOCIAÇÃO VIA TELEFONE"/>
    <n v="6"/>
    <x v="10"/>
    <s v="11.25"/>
    <s v="anakeppe"/>
    <s v="181 a 360"/>
    <s v="CPC"/>
    <x v="1"/>
  </r>
  <r>
    <s v="COGECOM"/>
    <n v="2480033308"/>
    <s v="DEUSDETE MARTINS DA CUNHA"/>
    <s v="OUT"/>
    <s v="OUTROS"/>
    <n v="39693724100"/>
    <x v="0"/>
    <s v="10712.38"/>
    <s v="3438.63"/>
    <n v="145"/>
    <s v="SEM INTERESSE"/>
    <s v="NEGOCIAÇÃO VIA TELEFONE"/>
    <n v="6"/>
    <x v="10"/>
    <s v="16.34"/>
    <s v="gleise"/>
    <s v="91 a 180"/>
    <s v="CPC"/>
    <x v="1"/>
  </r>
  <r>
    <s v="COGECOM"/>
    <n v="92380697"/>
    <s v="SCHEILA MARA WEILLER ANTUNES DE LIMA EIRELI"/>
    <s v="OUT"/>
    <s v="OUTROS"/>
    <n v="82326828000107"/>
    <x v="0"/>
    <s v="5048.58"/>
    <s v="1278.02"/>
    <n v="147"/>
    <s v="SEM INTERESSE"/>
    <s v="NEGOCIAÇÃO VIA TELEFONE"/>
    <n v="6"/>
    <x v="10"/>
    <s v="13.22"/>
    <s v="anakeppe"/>
    <s v="91 a 180"/>
    <s v="CPC"/>
    <x v="1"/>
  </r>
  <r>
    <s v="COGECOM"/>
    <n v="3095450753"/>
    <s v="EAT KITCHEN COMÉRCIO DE ALIMENTOS EIRELI"/>
    <s v="OUT"/>
    <s v="OUTROS"/>
    <n v="26993942000101"/>
    <x v="0"/>
    <s v="8058.60"/>
    <s v="2827.83"/>
    <n v="141"/>
    <s v="SEM INTERESSE"/>
    <s v="NEGOCIAÇÃO VIA TELEFONE"/>
    <n v="6"/>
    <x v="10"/>
    <s v="14.10"/>
    <s v="gleise"/>
    <s v="91 a 180"/>
    <s v="CPC"/>
    <x v="1"/>
  </r>
  <r>
    <s v="COGECOM"/>
    <n v="35237830"/>
    <s v="L. MENDONCA FIGUEIRA - REDES ESPORTIVAS"/>
    <s v="OUT"/>
    <s v="OUTROS"/>
    <n v="31974403000165"/>
    <x v="0"/>
    <s v="1064.02"/>
    <s v="386.73"/>
    <n v="116"/>
    <s v="SEM INTERESSE"/>
    <s v="NEGOCIAÇÃO VIA TELEFONE"/>
    <n v="6"/>
    <x v="10"/>
    <s v="14.29"/>
    <s v="anakeppe"/>
    <s v="91 a 180"/>
    <s v="CPC"/>
    <x v="1"/>
  </r>
  <r>
    <s v="COGECOM"/>
    <n v="3005946652"/>
    <s v="CENTRO DE ESPECIALIDADES MÉDICAS DO LESTE MINEIRO LTDA"/>
    <s v="OUT"/>
    <s v="OUTROS"/>
    <n v="24512438000117"/>
    <x v="0"/>
    <s v="8738.25"/>
    <s v="5373.78"/>
    <n v="116"/>
    <s v="NÃO LOCALIZADO"/>
    <s v="TELEFONES SEM ATENDIMENTO"/>
    <n v="6"/>
    <x v="10"/>
    <s v="16.30"/>
    <s v="gleise"/>
    <s v="91 a 180"/>
    <s v="ACIONAMENTO"/>
    <x v="0"/>
  </r>
  <r>
    <s v="COGECOM"/>
    <n v="61711284"/>
    <s v="DOMINGOS MATIAS DA SILVA"/>
    <s v="OUT"/>
    <s v="OUTROS"/>
    <n v="5567777949"/>
    <x v="1"/>
    <s v="0.00"/>
    <s v="354.05"/>
    <n v="104"/>
    <s v="ACORDO VIGENTE COLCHÃO EM DIA"/>
    <s v="ALTERACAO DEBITO"/>
    <n v="13"/>
    <x v="10"/>
    <s v="16.49"/>
    <s v="elizabel"/>
    <s v="91 a 180"/>
    <s v="ACIONAMENTO"/>
    <x v="2"/>
  </r>
  <r>
    <s v="COGECOM"/>
    <n v="3085604862"/>
    <s v="ANA LUIZA SETTI RECKZIEGEL"/>
    <s v="OUT"/>
    <s v="OUTROS"/>
    <n v="45696314015"/>
    <x v="1"/>
    <s v="0.00"/>
    <s v="48.49"/>
    <n v="110"/>
    <m/>
    <s v="ALTERACAO DEBITO"/>
    <n v="9999"/>
    <x v="10"/>
    <s v="16.29"/>
    <s v="elizabel"/>
    <s v="91 a 180"/>
    <s v="ACIONAMENTO"/>
    <x v="4"/>
  </r>
  <r>
    <s v="COGECOM"/>
    <n v="55448593"/>
    <s v="IGOR RAPHAEL LARANJEIRA MANOEL"/>
    <s v="OUT"/>
    <s v="OUTROS"/>
    <n v="6952695931"/>
    <x v="0"/>
    <s v="2498.34"/>
    <s v="1182.24"/>
    <n v="94"/>
    <s v="SEM INTERESSE"/>
    <s v="NEGOCIAÇÃO VIA TELEFONE"/>
    <n v="6"/>
    <x v="10"/>
    <s v="13.37"/>
    <s v="anakeppe"/>
    <s v="91 a 180"/>
    <s v="CPC"/>
    <x v="1"/>
  </r>
  <r>
    <s v="COGECOM"/>
    <n v="87053110"/>
    <s v="MARIO SERGIO BADUY JUNIOR"/>
    <s v="OUT"/>
    <s v="OUTROS"/>
    <n v="2669526900"/>
    <x v="0"/>
    <s v="3771.60"/>
    <s v="1877.21"/>
    <n v="96"/>
    <s v="SEM INTERESSE"/>
    <s v="NEGOCIAÇÃO VIA TELEFONE"/>
    <n v="6"/>
    <x v="10"/>
    <s v="14.50"/>
    <s v="anakeppe"/>
    <s v="91 a 180"/>
    <s v="CPC"/>
    <x v="1"/>
  </r>
  <r>
    <s v="COGECOM"/>
    <n v="65928261"/>
    <s v="ALEX FABIANO SILVA"/>
    <s v="OUT"/>
    <s v="OUTROS"/>
    <n v="89877080982"/>
    <x v="0"/>
    <s v="175.71"/>
    <s v="175.71"/>
    <n v="87"/>
    <s v="SEM INTERESSE"/>
    <s v="NEGOCIAÇÃO VIA TELEFONE"/>
    <n v="6"/>
    <x v="10"/>
    <s v="11.04"/>
    <s v="anakeppe"/>
    <s v="61 a 90"/>
    <s v="CPC"/>
    <x v="1"/>
  </r>
  <r>
    <s v="COGECOM"/>
    <n v="3082546550"/>
    <s v="LOECIR JOSE FRANCESCATTO"/>
    <s v="OUT"/>
    <s v="OUTROS"/>
    <n v="5853073000140"/>
    <x v="0"/>
    <s v="1927.38"/>
    <s v="1927.38"/>
    <n v="85"/>
    <s v="NÃO LOCALIZADO"/>
    <s v="TELEFONES SEM ATENDIMENTO"/>
    <n v="6"/>
    <x v="10"/>
    <s v="16.48"/>
    <s v="gleise"/>
    <s v="61 a 90"/>
    <s v="ACIONAMENTO"/>
    <x v="0"/>
  </r>
  <r>
    <s v="COGECOM"/>
    <n v="3095443414"/>
    <s v="RAQUEL MILISZEWSKI"/>
    <s v="OUT"/>
    <s v="OUTROS"/>
    <n v="456107037"/>
    <x v="0"/>
    <s v="7959.56"/>
    <s v="3979.90"/>
    <n v="83"/>
    <s v="SEM INTERESSE"/>
    <s v="NEGOCIAÇÃO VIA TELEFONE"/>
    <n v="6"/>
    <x v="10"/>
    <s v="11.24"/>
    <s v="anakeppe"/>
    <s v="61 a 90"/>
    <s v="CPC"/>
    <x v="1"/>
  </r>
  <r>
    <s v="COGECOM"/>
    <n v="4000244672"/>
    <s v="JULIO CESAR ZULIAN"/>
    <s v="OUT"/>
    <s v="OUTROS"/>
    <n v="6230990806"/>
    <x v="0"/>
    <s v="565.74"/>
    <s v="565.74"/>
    <n v="79"/>
    <s v="SEM INTERESSE"/>
    <s v="NEGOCIAÇÃO VIA TELEFONE"/>
    <n v="6"/>
    <x v="10"/>
    <s v="14.20"/>
    <s v="anakeppe"/>
    <s v="61 a 90"/>
    <s v="CPC"/>
    <x v="1"/>
  </r>
  <r>
    <s v="COGECOM"/>
    <n v="4002994050"/>
    <s v="ADRIANA ALMEIDA DE PAULO SILVA"/>
    <s v="OUT"/>
    <s v="OUTROS"/>
    <n v="555318656"/>
    <x v="0"/>
    <s v="658.06"/>
    <s v="658.06"/>
    <n v="79"/>
    <m/>
    <s v="SOLICITAR EXTINÇÃO DA AÇÃO"/>
    <n v="9999"/>
    <x v="10"/>
    <s v="14.50"/>
    <s v="anakeppe"/>
    <s v="61 a 90"/>
    <s v="ACIONAMENTO"/>
    <x v="4"/>
  </r>
  <r>
    <s v="COGECOM"/>
    <n v="93199317"/>
    <s v="ALLAN CICERO FERNANDES"/>
    <s v="OUT"/>
    <s v="OUTROS"/>
    <n v="6408448984"/>
    <x v="1"/>
    <s v="0.00"/>
    <s v="56.00"/>
    <n v="71"/>
    <s v="EM NEGOCIAÇÃO"/>
    <s v="ALTERACAO DEBITO"/>
    <n v="9"/>
    <x v="10"/>
    <s v="16.44"/>
    <s v="elizabel"/>
    <s v="61 a 90"/>
    <s v="ACIONAMENTO"/>
    <x v="2"/>
  </r>
  <r>
    <s v="COGECOM"/>
    <n v="3004004489"/>
    <s v="ALVARO RODRIGUES DE QUEIROZ"/>
    <s v="OUT"/>
    <s v="OUTROS"/>
    <n v="53866304668"/>
    <x v="1"/>
    <s v="0.00"/>
    <s v="51.30"/>
    <n v="68"/>
    <s v="ACORDO VIGENTE COLCHÃO EM DIA"/>
    <s v="NEGOCIAÇÃO VIA TELEFONE"/>
    <n v="6"/>
    <x v="10"/>
    <s v="16.05"/>
    <s v="anakeppe"/>
    <s v="61 a 90"/>
    <s v="CPC"/>
    <x v="2"/>
  </r>
  <r>
    <s v="COGECOM"/>
    <n v="61821535"/>
    <s v="ANDREIA REGINA CANTELLI"/>
    <s v="OUT"/>
    <s v="OUTROS"/>
    <n v="88051897900"/>
    <x v="1"/>
    <s v="0.00"/>
    <s v="179.02"/>
    <n v="71"/>
    <s v="SEM INTERESSE"/>
    <s v="NEGOCIAÇÃO VIA TELEFONE"/>
    <n v="6"/>
    <x v="10"/>
    <s v="16.33"/>
    <s v="anakeppe"/>
    <s v="61 a 90"/>
    <s v="CPC"/>
    <x v="1"/>
  </r>
  <r>
    <s v="COGECOM"/>
    <n v="54632886"/>
    <s v="BRUNO FERNANDO  RODRIGUES CAMARGO"/>
    <s v="OUT"/>
    <s v="OUTROS"/>
    <n v="43223450858"/>
    <x v="1"/>
    <s v="0.00"/>
    <s v="4.41"/>
    <n v="73"/>
    <s v="NÃO LOCALIZADO"/>
    <s v="SOLICITAR EXTINÇÃO DA AÇÃO"/>
    <n v="7"/>
    <x v="10"/>
    <s v="14.54"/>
    <s v="anakeppe"/>
    <s v="61 a 90"/>
    <s v="ACIONAMENTO"/>
    <x v="0"/>
  </r>
  <r>
    <s v="COGECOM"/>
    <n v="78254060"/>
    <s v="GISELE AUGUSTA AMORIM DE LEMOS"/>
    <s v="OUT"/>
    <s v="OUTROS"/>
    <n v="43104948895"/>
    <x v="0"/>
    <s v="142.26"/>
    <s v="195.07"/>
    <n v="75"/>
    <s v="SEM INTERESSE"/>
    <s v="NEGOCIAÇÃO VIA TELEFONE"/>
    <n v="6"/>
    <x v="10"/>
    <s v="14.57"/>
    <s v="gleise"/>
    <s v="61 a 90"/>
    <s v="CPC"/>
    <x v="1"/>
  </r>
  <r>
    <s v="COGECOM"/>
    <n v="45496945"/>
    <s v="JOSE VALERIO MARTINS"/>
    <s v="OUT"/>
    <s v="OUTROS"/>
    <n v="81719329915"/>
    <x v="1"/>
    <s v="0.00"/>
    <s v="322.63"/>
    <n v="66"/>
    <m/>
    <s v="ESTORNO"/>
    <n v="9999"/>
    <x v="10"/>
    <s v="14.40"/>
    <s v="p.quadros"/>
    <s v="61 a 90"/>
    <s v="ACIONAMENTO"/>
    <x v="4"/>
  </r>
  <r>
    <s v="COGECOM"/>
    <n v="3013781798"/>
    <s v="KEILA RIBAS MARTINS DOS SANTOS"/>
    <s v="OUT"/>
    <s v="OUTROS"/>
    <n v="7708162661"/>
    <x v="1"/>
    <s v="0.00"/>
    <s v="83.25"/>
    <n v="65"/>
    <s v="NÃO LOCALIZADO"/>
    <s v="ALTERACAO DEBITO"/>
    <n v="15"/>
    <x v="10"/>
    <s v="16.54"/>
    <s v="elizabel"/>
    <s v="61 a 90"/>
    <s v="ACIONAMENTO"/>
    <x v="0"/>
  </r>
  <r>
    <s v="COGECOM"/>
    <n v="3090559090"/>
    <s v="MARCIA REJANE TRAJANO DOS REIS"/>
    <s v="OUT"/>
    <s v="OUTROS"/>
    <n v="43699359034"/>
    <x v="1"/>
    <s v="0.00"/>
    <s v="1772.12"/>
    <n v="73"/>
    <s v="SEM INTERESSE"/>
    <s v="NEGOCIAÇÃO VIA TELEFONE"/>
    <n v="6"/>
    <x v="10"/>
    <s v="13.08"/>
    <s v="anakeppe"/>
    <s v="61 a 90"/>
    <s v="CPC"/>
    <x v="1"/>
  </r>
  <r>
    <s v="COGECOM"/>
    <n v="32016502"/>
    <s v="MARISA STEIN"/>
    <s v="OUT"/>
    <s v="OUTROS"/>
    <n v="32300549034"/>
    <x v="1"/>
    <s v="0.00"/>
    <s v="998.68"/>
    <n v="66"/>
    <s v="ACORDO VIGENTE COLCHÃO EM DIA"/>
    <s v="NEGOCIAÇÃO VIA WHATSAPP"/>
    <n v="6"/>
    <x v="10"/>
    <s v="16.25"/>
    <s v="anakeppe"/>
    <s v="61 a 90"/>
    <s v="CPC"/>
    <x v="2"/>
  </r>
  <r>
    <s v="COGECOM"/>
    <n v="10013054560"/>
    <s v="MARY DO ESPIRITO SANTO QUEIROZ"/>
    <s v="OUT"/>
    <s v="OUTROS"/>
    <n v="59229446149"/>
    <x v="1"/>
    <s v="96.48"/>
    <s v="91.20"/>
    <n v="66"/>
    <s v="ACORDO VIGENTE COLCHÃO EM DIA"/>
    <s v="ALTERACAO DEBITO"/>
    <n v="12"/>
    <x v="10"/>
    <s v="17.04"/>
    <s v="elizabel"/>
    <s v="61 a 90"/>
    <s v="ACIONAMENTO"/>
    <x v="2"/>
  </r>
  <r>
    <s v="COGECOM"/>
    <n v="53851410"/>
    <s v="RESTAURANTE DOLCE VITA AL MARE LTDA"/>
    <s v="OUT"/>
    <s v="OUTROS"/>
    <n v="38247330000159"/>
    <x v="0"/>
    <s v="2353.81"/>
    <s v="917.62"/>
    <n v="76"/>
    <s v="SEM INTERESSE"/>
    <s v="NEGOCIAÇÃO VIA TELEFONE"/>
    <n v="6"/>
    <x v="10"/>
    <s v="13.39"/>
    <s v="anakeppe"/>
    <s v="61 a 90"/>
    <s v="CPC"/>
    <x v="1"/>
  </r>
  <r>
    <s v="COGECOM"/>
    <n v="49418701"/>
    <s v="RESTAURANTE PRIMICIAS DO MAR LTDA"/>
    <s v="OUT"/>
    <s v="OUTROS"/>
    <n v="28369926000178"/>
    <x v="1"/>
    <s v="3893.25"/>
    <s v="2150.66"/>
    <n v="76"/>
    <s v="ACORDO VIGENTE COLCHÃO EM DIA"/>
    <s v="ALTERACAO DEBITO"/>
    <n v="9"/>
    <x v="10"/>
    <s v="16.52"/>
    <s v="elizabel"/>
    <s v="61 a 90"/>
    <s v="ACIONAMENTO"/>
    <x v="2"/>
  </r>
  <r>
    <s v="COGECOM"/>
    <n v="178756"/>
    <s v="RODRIGO FERRAZ"/>
    <s v="OUT"/>
    <s v="OUTROS"/>
    <n v="3814470907"/>
    <x v="1"/>
    <s v="0.00"/>
    <s v="123.52"/>
    <n v="66"/>
    <s v="EM NEGOCIAÇÃO"/>
    <s v="ALTERACAO DEBITO"/>
    <n v="29"/>
    <x v="10"/>
    <s v="12.50"/>
    <s v="elizabel"/>
    <s v="61 a 90"/>
    <s v="ACIONAMENTO"/>
    <x v="2"/>
  </r>
  <r>
    <s v="COGECOM"/>
    <n v="7801840"/>
    <s v="ROSALVIO ANIBAL ALVES"/>
    <s v="OUT"/>
    <s v="OUTROS"/>
    <n v="55986897900"/>
    <x v="1"/>
    <s v="0.00"/>
    <s v="1827.52"/>
    <n v="69"/>
    <s v="NÃO LOCALIZADO"/>
    <s v="ALTERACAO DEBITO"/>
    <n v="9"/>
    <x v="10"/>
    <s v="17.03"/>
    <s v="elizabel"/>
    <s v="61 a 90"/>
    <s v="ACIONAMENTO"/>
    <x v="0"/>
  </r>
  <r>
    <s v="COGECOM"/>
    <n v="10031125709"/>
    <s v="LUCIVANIA SANTOS DE OLIVEIRA"/>
    <s v="OUT"/>
    <s v="OUTROS"/>
    <n v="98113119"/>
    <x v="0"/>
    <s v="236.60"/>
    <s v="236.60"/>
    <n v="53"/>
    <s v="NÃO LOCALIZADO"/>
    <s v="TELEFONES SEM ATENDIMENTO"/>
    <n v="6"/>
    <x v="10"/>
    <s v="15.22"/>
    <s v="gleise"/>
    <s v="31 a 60"/>
    <s v="ACIONAMENTO"/>
    <x v="0"/>
  </r>
  <r>
    <s v="COGECOM"/>
    <n v="4003371700"/>
    <s v="ISELE FERNANDA BUENO"/>
    <s v="OUT"/>
    <s v="OUTROS"/>
    <n v="3035439060"/>
    <x v="0"/>
    <s v="89.22"/>
    <s v="89.22"/>
    <n v="53"/>
    <s v="NÃO LOCALIZADO"/>
    <s v="NEGOCIAÇÃO VIA TELEFONE"/>
    <n v="6"/>
    <x v="10"/>
    <s v="11.07"/>
    <s v="anakeppe"/>
    <s v="31 a 60"/>
    <s v="CPC"/>
    <x v="0"/>
  </r>
  <r>
    <s v="COGECOM"/>
    <n v="3000849483"/>
    <s v="JOSÉ ALUÍSIO FERREIRA"/>
    <s v="OUT"/>
    <s v="OUTROS"/>
    <n v="301602867"/>
    <x v="0"/>
    <s v="352.56"/>
    <s v="352.56"/>
    <n v="57"/>
    <s v="SEM INTERESSE"/>
    <s v="NEGOCIAÇÃO VIA TELEFONE"/>
    <n v="6"/>
    <x v="10"/>
    <s v="15.14"/>
    <s v="gleise"/>
    <s v="31 a 60"/>
    <s v="CPC"/>
    <x v="1"/>
  </r>
  <r>
    <s v="COGECOM"/>
    <n v="87124084"/>
    <s v="CRISTIANE JACI GIOMBELLI LEITE"/>
    <s v="OUT"/>
    <s v="OUTROS"/>
    <n v="4669571907"/>
    <x v="0"/>
    <s v="337.86"/>
    <s v="337.86"/>
    <n v="44"/>
    <s v="SEM INTERESSE"/>
    <s v="NEGOCIAÇÃO VIA TELEFONE"/>
    <n v="6"/>
    <x v="10"/>
    <s v="14.31"/>
    <s v="anakeppe"/>
    <s v="31 a 60"/>
    <s v="CPC"/>
    <x v="1"/>
  </r>
  <r>
    <s v="COGECOM"/>
    <n v="17082080"/>
    <s v="ANDREIA CRISTINA GOMES BEZERRA"/>
    <s v="OUT"/>
    <s v="OUTROS"/>
    <n v="2251304169"/>
    <x v="1"/>
    <s v="0.00"/>
    <s v="62.78"/>
    <n v="37"/>
    <s v="ACORDO VIGENTE COLCHÃO EM DIA"/>
    <s v="ALTERACAO DEBITO"/>
    <n v="13"/>
    <x v="10"/>
    <s v="15.52"/>
    <s v="elizabel"/>
    <s v="31 a 60"/>
    <s v="ACIONAMENTO"/>
    <x v="2"/>
  </r>
  <r>
    <s v="COGECOM"/>
    <n v="2515342"/>
    <s v="MARCELO MARCELINO GONCALVES"/>
    <s v="OUT"/>
    <s v="OUTROS"/>
    <n v="59513420906"/>
    <x v="1"/>
    <s v="0.00"/>
    <s v="126.57"/>
    <n v="34"/>
    <s v="ACORDO VIGENTE COLCHÃO EM DIA"/>
    <s v="ALTERACAO DEBITO"/>
    <n v="13"/>
    <x v="10"/>
    <s v="16.47"/>
    <s v="elizabel"/>
    <s v="31 a 60"/>
    <s v="ACIONAMENTO"/>
    <x v="2"/>
  </r>
  <r>
    <s v="COGECOM"/>
    <n v="6016375"/>
    <s v="VALQUIRIA MARTINS CRUZ"/>
    <s v="OUT"/>
    <s v="OUTROS"/>
    <n v="6221060826"/>
    <x v="1"/>
    <s v="0.00"/>
    <s v="91.35"/>
    <n v="34"/>
    <s v="EM NEGOCIAÇÃO"/>
    <s v="NEGOCIAÇÃO VIA WHATSAPP"/>
    <n v="6"/>
    <x v="10"/>
    <s v="17.27"/>
    <s v="l.quadros"/>
    <s v="31 a 60"/>
    <s v="CPC"/>
    <x v="2"/>
  </r>
  <r>
    <s v="COGECOM"/>
    <n v="66016266"/>
    <s v="ANSELMO VIZINE JUNIOR"/>
    <s v="OUT"/>
    <s v="OUTROS"/>
    <n v="71127275968"/>
    <x v="0"/>
    <s v="157.74"/>
    <s v="157.74"/>
    <n v="34"/>
    <s v="SEM INTERESSE"/>
    <s v="NEGOCIAÇÃO VIA TELEFONE"/>
    <n v="6"/>
    <x v="10"/>
    <s v="15.33"/>
    <s v="gleise"/>
    <s v="31 a 60"/>
    <s v="CPC"/>
    <x v="1"/>
  </r>
  <r>
    <s v="COGECOM"/>
    <n v="35636823"/>
    <s v="BEG DESTILARIA COMERCIO E DISTRIBUICAO DE BEBIDAS- LTDA"/>
    <s v="OUT"/>
    <s v="OUTROS"/>
    <n v="26950100000172"/>
    <x v="1"/>
    <s v="0.00"/>
    <s v="527.46"/>
    <n v="35"/>
    <s v="EM NEGOCIAÇÃO"/>
    <s v="ALTERACAO DEBITO"/>
    <n v="9"/>
    <x v="10"/>
    <s v="16.29"/>
    <s v="elizabel"/>
    <s v="31 a 60"/>
    <s v="ACIONAMENTO"/>
    <x v="2"/>
  </r>
  <r>
    <s v="COGECOM"/>
    <n v="27795489"/>
    <s v="AMILTON CLEBER DE OLIVEIRA PIMENTEL"/>
    <s v="OUT"/>
    <s v="OUTROS"/>
    <n v="8503482851"/>
    <x v="1"/>
    <s v="0.00"/>
    <s v="249.97"/>
    <n v="32"/>
    <s v="ACORDO VIGENTE COLCHÃO EM DIA"/>
    <s v="ALTERACAO DEBITO"/>
    <n v="12"/>
    <x v="10"/>
    <s v="17.09"/>
    <s v="elizabel"/>
    <s v="31 a 60"/>
    <s v="ACIONAMENTO"/>
    <x v="2"/>
  </r>
  <r>
    <s v="COGECOM"/>
    <n v="3000522111"/>
    <s v="CASA LAICOS BAR EIRELI EPP"/>
    <s v="OUT"/>
    <s v="OUTROS"/>
    <n v="23961797000199"/>
    <x v="0"/>
    <s v="1171.70"/>
    <s v="1171.70"/>
    <n v="611"/>
    <s v="SEM INTERESSE"/>
    <s v="NEGOCIAÇÃO VIA TELEFONE"/>
    <n v="13"/>
    <x v="10"/>
    <s v="10.46"/>
    <s v="anakeppe"/>
    <s v="Acima de 361"/>
    <s v="CPC"/>
    <x v="1"/>
  </r>
  <r>
    <s v="COGECOM"/>
    <n v="45035972"/>
    <s v="JANAINA PARENTE"/>
    <s v="OUT"/>
    <s v="OUTROS"/>
    <n v="3548092969"/>
    <x v="0"/>
    <s v="1699.60"/>
    <s v="329.34"/>
    <n v="688"/>
    <s v="SEM INTERESSE"/>
    <s v="NEGOCIAÇÃO VIA TELEFONE"/>
    <n v="13"/>
    <x v="10"/>
    <s v="10.53"/>
    <s v="anakeppe"/>
    <s v="Acima de 361"/>
    <s v="CPC"/>
    <x v="1"/>
  </r>
  <r>
    <s v="COGECOM"/>
    <n v="10006588660"/>
    <s v="ADALBERTO DA SILVA SOUSA"/>
    <s v="OUT"/>
    <s v="OUTROS"/>
    <n v="61774405172"/>
    <x v="0"/>
    <s v="174.47"/>
    <s v="73.29"/>
    <n v="191"/>
    <s v="SEM INTERESSE"/>
    <s v="SEM INTERESSE"/>
    <n v="7"/>
    <x v="11"/>
    <s v="10.31"/>
    <s v="anakeppe"/>
    <s v="181 a 360"/>
    <s v="CPC"/>
    <x v="1"/>
  </r>
  <r>
    <s v="COGECOM"/>
    <n v="44941325"/>
    <s v="ADRIALDO DE SOUZA"/>
    <s v="OUT"/>
    <s v="OUTROS"/>
    <n v="432469907"/>
    <x v="0"/>
    <s v="758.02"/>
    <s v="150.20"/>
    <n v="423"/>
    <s v="AG RESPOSTA 1º CONTATO"/>
    <s v="ENVIADO MSG/E-MAIL 1º CONTATO"/>
    <n v="7"/>
    <x v="11"/>
    <s v="11.47"/>
    <s v="l.quadros"/>
    <s v="Acima de 361"/>
    <s v="ACIONAMENTO"/>
    <x v="4"/>
  </r>
  <r>
    <s v="COGECOM"/>
    <n v="76260046"/>
    <s v="ALINY CRISTINA DA SILVA LANGER"/>
    <s v="OUT"/>
    <s v="OUTROS"/>
    <n v="4519365902"/>
    <x v="0"/>
    <s v="604.32"/>
    <s v="184.10"/>
    <n v="610"/>
    <s v="NÃO LOCALIZADO"/>
    <s v="TELEFONES SEM ATENDIMENTO"/>
    <n v="7"/>
    <x v="11"/>
    <s v="11.38"/>
    <s v="gleise"/>
    <s v="Acima de 361"/>
    <s v="ACIONAMENTO"/>
    <x v="0"/>
  </r>
  <r>
    <s v="COGECOM"/>
    <n v="26745268"/>
    <s v="AUGUSTO KEUNECKE NETO"/>
    <s v="OUT"/>
    <s v="OUTROS"/>
    <n v="4046788909"/>
    <x v="0"/>
    <s v="183.78"/>
    <s v="111.70"/>
    <n v="632"/>
    <s v="NÃO LOCALIZADO"/>
    <s v="TELEFONES SEM ATENDIMENTO"/>
    <n v="7"/>
    <x v="11"/>
    <s v="15.40"/>
    <s v="gleise"/>
    <s v="Acima de 361"/>
    <s v="ACIONAMENTO"/>
    <x v="0"/>
  </r>
  <r>
    <s v="COGECOM"/>
    <n v="3095698997"/>
    <s v="CINTIA MELISSA ADAM"/>
    <s v="OUT"/>
    <s v="OUTROS"/>
    <n v="2398810011"/>
    <x v="0"/>
    <s v="389.52"/>
    <s v="226.55"/>
    <n v="324"/>
    <s v="EM NEGOCIAÇÃO"/>
    <s v="TELEFONES SEM ATENDIMENTO"/>
    <n v="7"/>
    <x v="11"/>
    <s v="10.29"/>
    <s v="anakeppe"/>
    <s v="181 a 360"/>
    <s v="ACIONAMENTO"/>
    <x v="2"/>
  </r>
  <r>
    <s v="COGECOM"/>
    <n v="34644520"/>
    <s v="CLAIR PERAZZOLI"/>
    <s v="OUT"/>
    <s v="OUTROS"/>
    <n v="77488482972"/>
    <x v="0"/>
    <s v="350.54"/>
    <s v="194.99"/>
    <n v="160"/>
    <s v="EM NEGOCIAÇÃO"/>
    <s v="GERAÇÃO DE ACORDO"/>
    <n v="7"/>
    <x v="11"/>
    <s v="15.51"/>
    <s v="luciano"/>
    <s v="91 a 180"/>
    <s v="CPC"/>
    <x v="2"/>
  </r>
  <r>
    <s v="COGECOM"/>
    <n v="3092835907"/>
    <s v="CLAUDIA MARIA JUCHEM"/>
    <s v="OUT"/>
    <s v="OUTROS"/>
    <n v="52868478034"/>
    <x v="0"/>
    <s v="1324.90"/>
    <s v="662.50"/>
    <n v="324"/>
    <s v="NÃO LOCALIZADO"/>
    <s v="TELEFONES SEM ATENDIMENTO"/>
    <n v="7"/>
    <x v="11"/>
    <s v="10.42"/>
    <s v="gleise"/>
    <s v="181 a 360"/>
    <s v="ACIONAMENTO"/>
    <x v="0"/>
  </r>
  <r>
    <s v="COGECOM"/>
    <n v="10015086958"/>
    <s v="CLAUDIO ANDRE SILVA"/>
    <s v="OUT"/>
    <s v="OUTROS"/>
    <n v="76802728168"/>
    <x v="0"/>
    <s v="796.55"/>
    <s v="296.80"/>
    <n v="223"/>
    <s v="SEM INTERESSE"/>
    <s v="SEM INTERESSE"/>
    <n v="7"/>
    <x v="11"/>
    <s v="9.14"/>
    <s v="anakeppe"/>
    <s v="181 a 360"/>
    <s v="CPC"/>
    <x v="1"/>
  </r>
  <r>
    <s v="COGECOM"/>
    <n v="550026411"/>
    <s v="CORUJAO EXPRESS LTDA"/>
    <s v="OUT"/>
    <s v="OUTROS"/>
    <n v="45793200000187"/>
    <x v="0"/>
    <s v="3342.68"/>
    <s v="320.59"/>
    <n v="350"/>
    <s v="AG RESPOSTA 1º CONTATO"/>
    <s v="ENVIADO MSG/E-MAIL 1º CONTATO"/>
    <n v="7"/>
    <x v="11"/>
    <s v="10.31"/>
    <s v="l.quadros"/>
    <s v="181 a 360"/>
    <s v="ACIONAMENTO"/>
    <x v="4"/>
  </r>
  <r>
    <s v="COGECOM"/>
    <n v="7108087"/>
    <s v="DAIANE MONIQUE COELHO"/>
    <s v="OUT"/>
    <s v="OUTROS"/>
    <n v="4408528978"/>
    <x v="0"/>
    <s v="70.77"/>
    <s v="70.77"/>
    <n v="378"/>
    <s v="NÃO LOCALIZADO"/>
    <s v="TELEFONES SEM ATENDIMENTO"/>
    <n v="7"/>
    <x v="11"/>
    <s v="15.46"/>
    <s v="gleise"/>
    <s v="Acima de 361"/>
    <s v="ACIONAMENTO"/>
    <x v="0"/>
  </r>
  <r>
    <s v="COGECOM"/>
    <n v="3010544146"/>
    <s v="DANIEL MUNDIM NASCIMENTO"/>
    <s v="OUT"/>
    <s v="OUTROS"/>
    <n v="88346331649"/>
    <x v="0"/>
    <s v="732.20"/>
    <s v="152.32"/>
    <n v="447"/>
    <s v="SEM INTERESSE"/>
    <s v="NEGOCIAÇÃO VIA TELEFONE"/>
    <n v="7"/>
    <x v="11"/>
    <s v="11.43"/>
    <s v="gleise"/>
    <s v="Acima de 361"/>
    <s v="CPC"/>
    <x v="1"/>
  </r>
  <r>
    <s v="COGECOM"/>
    <n v="3095135099"/>
    <s v="DANIELA PAZ LOPES"/>
    <s v="OUT"/>
    <s v="OUTROS"/>
    <n v="74816195068"/>
    <x v="0"/>
    <s v="433.59"/>
    <s v="266.44"/>
    <n v="546"/>
    <s v="NÃO LOCALIZADO"/>
    <s v="TELEFONES SEM ATENDIMENTO"/>
    <n v="7"/>
    <x v="11"/>
    <s v="14.55"/>
    <s v="gleise"/>
    <s v="Acima de 361"/>
    <s v="ACIONAMENTO"/>
    <x v="0"/>
  </r>
  <r>
    <s v="COGECOM"/>
    <n v="200403618"/>
    <s v="DANIELLE DOS REIS COSTA"/>
    <s v="OUT"/>
    <s v="OUTROS"/>
    <n v="72527951104"/>
    <x v="0"/>
    <s v="705.83"/>
    <s v="171.01"/>
    <n v="188"/>
    <s v="SEM INTERESSE"/>
    <s v="SEM INTERESSE"/>
    <n v="7"/>
    <x v="11"/>
    <s v="14.06"/>
    <s v="anakeppe"/>
    <s v="181 a 360"/>
    <s v="CPC"/>
    <x v="1"/>
  </r>
  <r>
    <s v="COGECOM"/>
    <n v="1060018679"/>
    <s v="DIVINO RODRIGUES MENDES"/>
    <s v="OUT"/>
    <s v="OUTROS"/>
    <n v="21820139115"/>
    <x v="0"/>
    <s v="381.91"/>
    <s v="381.91"/>
    <n v="357"/>
    <s v="NÃO LOCALIZADO"/>
    <s v="PESQUISA NEGATIVA"/>
    <n v="7"/>
    <x v="11"/>
    <s v="9.29"/>
    <s v="gleise"/>
    <s v="181 a 360"/>
    <s v="ACIONAMENTO"/>
    <x v="0"/>
  </r>
  <r>
    <s v="COGECOM"/>
    <n v="60120207"/>
    <s v="EDER WILLIAM DE PAULA FERREIRA"/>
    <s v="OUT"/>
    <s v="OUTROS"/>
    <n v="36807795858"/>
    <x v="0"/>
    <s v="1139.36"/>
    <s v="1109.17"/>
    <n v="637"/>
    <s v="NÃO LOCALIZADO"/>
    <s v="TELEFONES SEM ATENDIMENTO"/>
    <n v="7"/>
    <x v="11"/>
    <s v="17.03"/>
    <s v="gleise"/>
    <s v="Acima de 361"/>
    <s v="ACIONAMENTO"/>
    <x v="0"/>
  </r>
  <r>
    <s v="COGECOM"/>
    <n v="3001861374"/>
    <s v="EDUARDO ANTONIO PIANTINO DA SILVA"/>
    <s v="OUT"/>
    <s v="OUTROS"/>
    <n v="74994492620"/>
    <x v="0"/>
    <s v="134.22"/>
    <s v="134.22"/>
    <n v="230"/>
    <s v="AG RESPOSTA 1º CONTATO"/>
    <s v="ENVIADO MSG/E-MAIL 1º CONTATO"/>
    <n v="7"/>
    <x v="11"/>
    <s v="13.01"/>
    <s v="l.quadros"/>
    <s v="181 a 360"/>
    <s v="ACIONAMENTO"/>
    <x v="4"/>
  </r>
  <r>
    <s v="COGECOM"/>
    <n v="3003397206"/>
    <s v="FLAVIANE DOS REIS RAMALHO"/>
    <s v="OUT"/>
    <s v="OUTROS"/>
    <n v="1923402633"/>
    <x v="0"/>
    <s v="1039.93"/>
    <s v="138.94"/>
    <n v="276"/>
    <s v="EM NEGOCIAÇÃO"/>
    <s v="NEGOCIAÇÃO VIA WHATSAPP"/>
    <n v="7"/>
    <x v="11"/>
    <s v="14.16"/>
    <s v="roberto"/>
    <s v="181 a 360"/>
    <s v="CPC"/>
    <x v="2"/>
  </r>
  <r>
    <s v="COGECOM"/>
    <n v="107333295"/>
    <s v="HENRIETE KELLY FELSKI BERTI"/>
    <s v="OUT"/>
    <s v="OUTROS"/>
    <n v="7945377904"/>
    <x v="1"/>
    <s v="0.00"/>
    <s v="364.93"/>
    <n v="191"/>
    <s v="AG RESPOSTA 1º CONTATO"/>
    <s v="ENVIADO MSG/E-MAIL 1º CONTATO"/>
    <n v="7"/>
    <x v="11"/>
    <s v="17.00"/>
    <s v="l.quadros"/>
    <s v="181 a 360"/>
    <s v="ACIONAMENTO"/>
    <x v="4"/>
  </r>
  <r>
    <s v="COGECOM"/>
    <n v="48046622"/>
    <s v="HENRY WINTER MUNIZ PIRES"/>
    <s v="OUT"/>
    <s v="OUTROS"/>
    <n v="5524272926"/>
    <x v="0"/>
    <s v="5977.59"/>
    <s v="1431.18"/>
    <n v="705"/>
    <s v="NÃO LOCALIZADO"/>
    <s v="TELEFONES SEM ATENDIMENTO"/>
    <n v="7"/>
    <x v="11"/>
    <s v="14.23"/>
    <s v="gleise"/>
    <s v="Acima de 361"/>
    <s v="ACIONAMENTO"/>
    <x v="0"/>
  </r>
  <r>
    <s v="COGECOM"/>
    <n v="19826333"/>
    <s v="INTERVINHOSBEER PIZZARIA LTDA"/>
    <s v="OUT"/>
    <s v="OUTROS"/>
    <n v="34259014000146"/>
    <x v="0"/>
    <s v="5525.11"/>
    <s v="992.00"/>
    <n v="740"/>
    <s v="NÃO LOCALIZADO"/>
    <s v="TELEFONES SEM ATENDIMENTO"/>
    <n v="7"/>
    <x v="11"/>
    <s v="14.25"/>
    <s v="gleise"/>
    <s v="Acima de 361"/>
    <s v="ACIONAMENTO"/>
    <x v="0"/>
  </r>
  <r>
    <s v="COGECOM"/>
    <n v="57454280"/>
    <s v="IZILDA DA SILVA DIAS"/>
    <s v="OUT"/>
    <s v="OUTROS"/>
    <n v="96163313968"/>
    <x v="0"/>
    <s v="1752.12"/>
    <s v="467.33"/>
    <n v="758"/>
    <s v="NÃO LOCALIZADO"/>
    <s v="TELEFONES SEM ATENDIMENTO"/>
    <n v="7"/>
    <x v="11"/>
    <s v="14.33"/>
    <s v="gleise"/>
    <s v="Acima de 361"/>
    <s v="ACIONAMENTO"/>
    <x v="0"/>
  </r>
  <r>
    <s v="COGECOM"/>
    <n v="1550012219"/>
    <s v="JOANA LOPES DO NASCIMENTO"/>
    <s v="OUT"/>
    <s v="OUTROS"/>
    <n v="82878900120"/>
    <x v="0"/>
    <s v="254.05"/>
    <s v="14.42"/>
    <n v="194"/>
    <s v="SEM INTERESSE"/>
    <s v="NEGOCIAÇÃO VIA TELEFONE"/>
    <n v="7"/>
    <x v="11"/>
    <s v="11.58"/>
    <s v="anakeppe"/>
    <s v="181 a 360"/>
    <s v="CPC"/>
    <x v="1"/>
  </r>
  <r>
    <s v="COGECOM"/>
    <n v="3001613895"/>
    <s v="JOSIANE DUARTE PIRES"/>
    <s v="OUT"/>
    <s v="OUTROS"/>
    <n v="4363615664"/>
    <x v="0"/>
    <s v="339.24"/>
    <s v="124.45"/>
    <n v="433"/>
    <s v="SEM INTERESSE"/>
    <s v="NEGOCIAÇÃO VIA TELEFONE"/>
    <n v="7"/>
    <x v="11"/>
    <s v="11.49"/>
    <s v="gleise"/>
    <s v="Acima de 361"/>
    <s v="CPC"/>
    <x v="1"/>
  </r>
  <r>
    <s v="COGECOM"/>
    <n v="10545676"/>
    <s v="LEANDRO PIRES MACHADO"/>
    <s v="OUT"/>
    <s v="OUTROS"/>
    <n v="10134032900"/>
    <x v="0"/>
    <s v="485.62"/>
    <s v="221.44"/>
    <n v="474"/>
    <s v="EM NEGOCIAÇÃO"/>
    <s v="NEGOCIAÇÃO VIA WHATSAPP"/>
    <n v="7"/>
    <x v="11"/>
    <s v="14.14"/>
    <s v="roberto"/>
    <s v="Acima de 361"/>
    <s v="CPC"/>
    <x v="2"/>
  </r>
  <r>
    <s v="COGECOM"/>
    <n v="53037138"/>
    <s v="LEANDRO ROTHMUND"/>
    <s v="OUT"/>
    <s v="OUTROS"/>
    <n v="2320356959"/>
    <x v="0"/>
    <s v="622.83"/>
    <s v="317.39"/>
    <n v="362"/>
    <s v="EM NEGOCIAÇÃO"/>
    <s v="NEGOCIAÇÃO VIA WHATSAPP"/>
    <n v="7"/>
    <x v="11"/>
    <s v="14.25"/>
    <s v="roberto"/>
    <s v="Acima de 361"/>
    <s v="CPC"/>
    <x v="2"/>
  </r>
  <r>
    <s v="COGECOM"/>
    <n v="54124708"/>
    <s v="LOCO BREAD COMÉRCIO DE ALIMENTOS LTDA"/>
    <s v="OUT"/>
    <s v="OUTROS"/>
    <n v="30866191000130"/>
    <x v="0"/>
    <s v="5924.20"/>
    <s v="1588.41"/>
    <n v="780"/>
    <s v="NÃO LOCALIZADO"/>
    <s v="TELEFONES SEM ATENDIMENTO"/>
    <n v="7"/>
    <x v="11"/>
    <s v="16.54"/>
    <s v="gleise"/>
    <s v="Acima de 361"/>
    <s v="ACIONAMENTO"/>
    <x v="0"/>
  </r>
  <r>
    <s v="COGECOM"/>
    <n v="3995364"/>
    <s v="LUIZ CARLOS FERREIRA DE MELO"/>
    <s v="OUT"/>
    <s v="OUTROS"/>
    <n v="76602109804"/>
    <x v="0"/>
    <s v="51.54"/>
    <s v="23.31"/>
    <n v="602"/>
    <s v="NÃO LOCALIZADO"/>
    <s v="TELEFONES SEM ATENDIMENTO"/>
    <n v="7"/>
    <x v="11"/>
    <s v="15.51"/>
    <s v="gleise"/>
    <s v="Acima de 361"/>
    <s v="ACIONAMENTO"/>
    <x v="0"/>
  </r>
  <r>
    <s v="COGECOM"/>
    <n v="75771489"/>
    <s v="MARCOS ANTONIO ROCHA GABRIEL"/>
    <s v="OUT"/>
    <s v="OUTROS"/>
    <n v="5637264902"/>
    <x v="0"/>
    <s v="753.84"/>
    <s v="248.64"/>
    <n v="502"/>
    <s v="NÃO LOCALIZADO"/>
    <s v="TELEFONES SEM ATENDIMENTO"/>
    <n v="7"/>
    <x v="11"/>
    <s v="9.18"/>
    <s v="anakeppe"/>
    <s v="Acima de 361"/>
    <s v="ACIONAMENTO"/>
    <x v="0"/>
  </r>
  <r>
    <s v="COGECOM"/>
    <n v="3005314650"/>
    <s v="MARCOS CESAR GONÇALVES SOARES"/>
    <s v="OUT"/>
    <s v="OUTROS"/>
    <n v="7959784809"/>
    <x v="0"/>
    <s v="421.83"/>
    <s v="126.08"/>
    <n v="223"/>
    <s v="FALECIDO"/>
    <s v="FALECIDO"/>
    <n v="7"/>
    <x v="11"/>
    <s v="11.46"/>
    <s v="gleise"/>
    <s v="181 a 360"/>
    <s v="ACIONAMENTO"/>
    <x v="5"/>
  </r>
  <r>
    <s v="COGECOM"/>
    <n v="4848896"/>
    <s v="MARGARETT MATTOS DE SOUSA"/>
    <s v="OUT"/>
    <s v="OUTROS"/>
    <n v="29023084934"/>
    <x v="0"/>
    <s v="5921.45"/>
    <s v="2976.37"/>
    <n v="590"/>
    <s v="NÃO LOCALIZADO"/>
    <s v="TELEFONES SEM ATENDIMENTO"/>
    <n v="7"/>
    <x v="11"/>
    <s v="16.11"/>
    <s v="gleise"/>
    <s v="Acima de 361"/>
    <s v="ACIONAMENTO"/>
    <x v="0"/>
  </r>
  <r>
    <s v="COGECOM"/>
    <n v="3091275236"/>
    <s v="MARILICE CENCI"/>
    <s v="OUT"/>
    <s v="OUTROS"/>
    <n v="52655385934"/>
    <x v="0"/>
    <s v="306.49"/>
    <s v="306.49"/>
    <n v="230"/>
    <s v="NÃO LOCALIZADO"/>
    <s v="TELEFONES SEM ATENDIMENTO"/>
    <n v="7"/>
    <x v="11"/>
    <s v="11.08"/>
    <s v="gleise"/>
    <s v="181 a 360"/>
    <s v="ACIONAMENTO"/>
    <x v="0"/>
  </r>
  <r>
    <s v="COGECOM"/>
    <n v="3011434020"/>
    <s v="MATHEUS WASHINGTON COUTINHO MARCELINO"/>
    <s v="OUT"/>
    <s v="OUTROS"/>
    <n v="6353038682"/>
    <x v="0"/>
    <s v="437.29"/>
    <s v="65.58"/>
    <n v="214"/>
    <s v="NÃO LOCALIZADO"/>
    <s v="TELEFONES SEM ATENDIMENTO"/>
    <n v="7"/>
    <x v="11"/>
    <s v="14.13"/>
    <s v="gleise"/>
    <s v="181 a 360"/>
    <s v="ACIONAMENTO"/>
    <x v="0"/>
  </r>
  <r>
    <s v="COGECOM"/>
    <n v="10021521385"/>
    <s v="MRV PRIME BALNEARIO GOIANIA INCORPORACOES SPE LTDA"/>
    <s v="OUT"/>
    <s v="OUTROS"/>
    <n v="12568700000166"/>
    <x v="0"/>
    <s v="10452.67"/>
    <s v="917.82"/>
    <n v="364"/>
    <s v="NÃO LOCALIZADO"/>
    <s v="TELEFONES SEM ATENDIMENTO"/>
    <n v="7"/>
    <x v="11"/>
    <s v="10.40"/>
    <s v="gleise"/>
    <s v="Acima de 361"/>
    <s v="ACIONAMENTO"/>
    <x v="0"/>
  </r>
  <r>
    <s v="COGECOM"/>
    <n v="10009196720"/>
    <s v="NEWTOM RAFAEL ROCHA GOMES SANTOS"/>
    <s v="OUT"/>
    <s v="OUTROS"/>
    <n v="90549350144"/>
    <x v="0"/>
    <s v="404.09"/>
    <s v="30.76"/>
    <n v="268"/>
    <s v="SEM INTERESSE"/>
    <s v="NEGOCIAÇÃO VIA TELEFONE"/>
    <n v="7"/>
    <x v="11"/>
    <s v="11.26"/>
    <s v="anakeppe"/>
    <s v="181 a 360"/>
    <s v="CPC"/>
    <x v="1"/>
  </r>
  <r>
    <s v="COGECOM"/>
    <n v="10015183295"/>
    <s v="RENATO SANTOS GOMES DE MACEDO"/>
    <s v="OUT"/>
    <s v="OUTROS"/>
    <n v="2661965190"/>
    <x v="0"/>
    <s v="1566.11"/>
    <s v="357.19"/>
    <n v="293"/>
    <s v="SEM INTERESSE"/>
    <s v="NEGOCIAÇÃO VIA TELEFONE"/>
    <n v="7"/>
    <x v="11"/>
    <s v="16.26"/>
    <s v="anakeppe"/>
    <s v="181 a 360"/>
    <s v="CPC"/>
    <x v="1"/>
  </r>
  <r>
    <s v="COGECOM"/>
    <n v="10034582019"/>
    <s v="RODRIGO ANTONIO DE SOUZA NETO"/>
    <s v="OUT"/>
    <s v="OUTROS"/>
    <n v="2050967195"/>
    <x v="0"/>
    <s v="304.69"/>
    <s v="46.15"/>
    <n v="221"/>
    <s v="NÃO LOCALIZADO"/>
    <s v="TELEFONES SEM ATENDIMENTO"/>
    <n v="7"/>
    <x v="11"/>
    <s v="11.41"/>
    <s v="gleise"/>
    <s v="181 a 360"/>
    <s v="ACIONAMENTO"/>
    <x v="0"/>
  </r>
  <r>
    <s v="COGECOM"/>
    <n v="10007232436"/>
    <s v="RODRIGO FRANCISCO DA SILVA"/>
    <s v="OUT"/>
    <s v="OUTROS"/>
    <n v="91209960125"/>
    <x v="0"/>
    <s v="6465.39"/>
    <s v="747.35"/>
    <n v="339"/>
    <s v="EM NEGOCIAÇÃO"/>
    <s v="NEGOCIAÇÃO VIA WHATSAPP"/>
    <n v="7"/>
    <x v="11"/>
    <s v="14.08"/>
    <s v="roberto"/>
    <s v="181 a 360"/>
    <s v="CPC"/>
    <x v="2"/>
  </r>
  <r>
    <s v="COGECOM"/>
    <n v="3081821630"/>
    <s v="ROGER COPETTI PAVIM"/>
    <s v="OUT"/>
    <s v="OUTROS"/>
    <n v="1029068070"/>
    <x v="0"/>
    <s v="80.09"/>
    <s v="80.09"/>
    <n v="535"/>
    <s v="NÃO LOCALIZADO"/>
    <s v="TELEFONES SEM ATENDIMENTO"/>
    <n v="7"/>
    <x v="11"/>
    <s v="15.42"/>
    <s v="gleise"/>
    <s v="Acima de 361"/>
    <s v="ACIONAMENTO"/>
    <x v="0"/>
  </r>
  <r>
    <s v="COGECOM"/>
    <n v="14673459"/>
    <s v="RONALDO COSTA F SILVIRA"/>
    <s v="OUT"/>
    <s v="OUTROS"/>
    <n v="26318326391"/>
    <x v="0"/>
    <s v="429.11"/>
    <s v="76.91"/>
    <n v="219"/>
    <s v="EM NEGOCIAÇÃO"/>
    <s v="NEGOCIAÇÃO VIA WHATSAPP"/>
    <n v="7"/>
    <x v="11"/>
    <s v="14.06"/>
    <s v="roberto"/>
    <s v="181 a 360"/>
    <s v="CPC"/>
    <x v="2"/>
  </r>
  <r>
    <s v="COGECOM"/>
    <n v="79876870"/>
    <s v="RONALDO GOMES DO NASCIMENTO"/>
    <s v="OUT"/>
    <s v="OUTROS"/>
    <n v="66638429949"/>
    <x v="0"/>
    <s v="1048.45"/>
    <s v="170.52"/>
    <n v="230"/>
    <s v="NÃO LOCALIZADO"/>
    <s v="TELEFONES SEM ATENDIMENTO"/>
    <n v="7"/>
    <x v="11"/>
    <s v="9.21"/>
    <s v="anakeppe"/>
    <s v="181 a 360"/>
    <s v="ACIONAMENTO"/>
    <x v="0"/>
  </r>
  <r>
    <s v="COGECOM"/>
    <n v="3006244401"/>
    <s v="ROSIMEIRE APARECIDA AMARAL"/>
    <s v="OUT"/>
    <s v="OUTROS"/>
    <n v="3486383612"/>
    <x v="0"/>
    <s v="636.31"/>
    <s v="340.13"/>
    <n v="433"/>
    <s v="EM NEGOCIAÇÃO"/>
    <s v="NEGOCIAÇÃO VIA WHATSAPP"/>
    <n v="7"/>
    <x v="11"/>
    <s v="14.09"/>
    <s v="roberto"/>
    <s v="Acima de 361"/>
    <s v="CPC"/>
    <x v="2"/>
  </r>
  <r>
    <s v="COGECOM"/>
    <n v="3010830653"/>
    <s v="SANDRA MARIA BARBOSA"/>
    <s v="OUT"/>
    <s v="OUTROS"/>
    <n v="55346278672"/>
    <x v="0"/>
    <s v="2440.30"/>
    <s v="419.45"/>
    <n v="394"/>
    <s v="NÃO LOCALIZADO"/>
    <s v="TELEFONES SEM ATENDIMENTO"/>
    <n v="7"/>
    <x v="11"/>
    <s v="10.53"/>
    <s v="gleise"/>
    <s v="Acima de 361"/>
    <s v="ACIONAMENTO"/>
    <x v="0"/>
  </r>
  <r>
    <s v="COGECOM"/>
    <n v="3005968316"/>
    <s v="SILMO TOLEDO DE PAULA"/>
    <s v="OUT"/>
    <s v="OUTROS"/>
    <n v="21088217672"/>
    <x v="0"/>
    <s v="3340.83"/>
    <s v="695.74"/>
    <n v="276"/>
    <s v="SEM INTERESSE"/>
    <s v="SEM INTERESSE"/>
    <n v="7"/>
    <x v="11"/>
    <s v="14.08"/>
    <s v="anakeppe"/>
    <s v="181 a 360"/>
    <s v="CPC"/>
    <x v="1"/>
  </r>
  <r>
    <s v="COGECOM"/>
    <n v="101799780"/>
    <s v="STHEFANY SUZANA PEREIRA DE OLIVEIRA"/>
    <s v="OUT"/>
    <s v="OUTROS"/>
    <n v="12815522918"/>
    <x v="0"/>
    <s v="1082.38"/>
    <s v="97.88"/>
    <n v="615"/>
    <s v="SEM INTERESSE"/>
    <s v="NEGOCIAÇÃO VIA TELEFONE"/>
    <n v="7"/>
    <x v="11"/>
    <s v="13.00"/>
    <s v="gleise"/>
    <s v="Acima de 361"/>
    <s v="CPC"/>
    <x v="1"/>
  </r>
  <r>
    <s v="COGECOM"/>
    <n v="3000096838"/>
    <s v="THIAGO DOS SANTOS"/>
    <s v="OUT"/>
    <s v="OUTROS"/>
    <n v="8020551689"/>
    <x v="0"/>
    <s v="531.52"/>
    <s v="162.09"/>
    <n v="276"/>
    <s v="EM NEGOCIAÇÃO"/>
    <s v="NEGOCIAÇÃO VIA WHATSAPP"/>
    <n v="7"/>
    <x v="11"/>
    <s v="10.58"/>
    <s v="anakeppe"/>
    <s v="181 a 360"/>
    <s v="CPC"/>
    <x v="2"/>
  </r>
  <r>
    <s v="COGECOM"/>
    <n v="61102784"/>
    <s v="VALDINEI APARECIDO DINIZ"/>
    <s v="OUT"/>
    <s v="OUTROS"/>
    <n v="93522169972"/>
    <x v="0"/>
    <s v="502.89"/>
    <s v="231.96"/>
    <n v="291"/>
    <s v="AG RESPOSTA 1º CONTATO"/>
    <s v="ENVIADO MSG/E-MAIL 1º CONTATO"/>
    <n v="7"/>
    <x v="11"/>
    <s v="10.45"/>
    <s v="l.quadros"/>
    <s v="181 a 360"/>
    <s v="ACIONAMENTO"/>
    <x v="4"/>
  </r>
  <r>
    <s v="COGECOM"/>
    <n v="46713646"/>
    <s v="LEONARDO PESSOA MALAQUIAS"/>
    <s v="OUT"/>
    <s v="OUTROS"/>
    <n v="33714299890"/>
    <x v="0"/>
    <s v="1375.37"/>
    <s v="1174.02"/>
    <n v="332"/>
    <s v="NÃO LOCALIZADO"/>
    <s v="TELEFONES SEM ATENDIMENTO"/>
    <n v="7"/>
    <x v="11"/>
    <s v="10.32"/>
    <s v="gleise"/>
    <s v="181 a 360"/>
    <s v="ACIONAMENTO"/>
    <x v="0"/>
  </r>
  <r>
    <s v="COGECOM"/>
    <n v="3093282825"/>
    <s v="VANESSA POHLMANN DE GODOY"/>
    <s v="OUT"/>
    <s v="OUTROS"/>
    <n v="81444184091"/>
    <x v="0"/>
    <s v="682.16"/>
    <s v="299.13"/>
    <n v="172"/>
    <s v="EM NEGOCIAÇÃO"/>
    <s v="NEGOCIAÇÃO VIA WHATSAPP"/>
    <n v="7"/>
    <x v="11"/>
    <s v="14.44"/>
    <s v="roberto"/>
    <s v="91 a 180"/>
    <s v="CPC"/>
    <x v="2"/>
  </r>
  <r>
    <s v="COGECOM"/>
    <n v="3002323222"/>
    <s v="ROGGER TORRES FAIOLI"/>
    <s v="OUT"/>
    <s v="OUTROS"/>
    <n v="3215825600"/>
    <x v="0"/>
    <s v="153.36"/>
    <s v="71.24"/>
    <n v="171"/>
    <s v="NÃO LOCALIZADO"/>
    <s v="TELEFONES SEM ATENDIMENTO"/>
    <n v="7"/>
    <x v="11"/>
    <s v="9.57"/>
    <s v="gleise"/>
    <s v="91 a 180"/>
    <s v="ACIONAMENTO"/>
    <x v="0"/>
  </r>
  <r>
    <s v="COGECOM"/>
    <n v="3005269274"/>
    <s v="FABRICIO SHESMAN DE OLIVEIRA"/>
    <s v="OUT"/>
    <s v="OUTROS"/>
    <n v="7623532600"/>
    <x v="0"/>
    <s v="206.60"/>
    <s v="60.38"/>
    <n v="190"/>
    <s v="EM NEGOCIAÇÃO"/>
    <s v="NEGOCIAÇÃO VIA WHATSAPP"/>
    <n v="7"/>
    <x v="11"/>
    <s v="14.24"/>
    <s v="roberto"/>
    <s v="181 a 360"/>
    <s v="CPC"/>
    <x v="2"/>
  </r>
  <r>
    <s v="COGECOM"/>
    <n v="3006848356"/>
    <s v="WELINTON MEIRELES SANTIAGO"/>
    <s v="OUT"/>
    <s v="OUTROS"/>
    <n v="618832637"/>
    <x v="0"/>
    <s v="123.02"/>
    <s v="108.55"/>
    <n v="176"/>
    <s v="NÃO LOCALIZADO"/>
    <s v="TELEFONES SEM ATENDIMENTO"/>
    <n v="7"/>
    <x v="11"/>
    <s v="9.55"/>
    <s v="gleise"/>
    <s v="91 a 180"/>
    <s v="ACIONAMENTO"/>
    <x v="0"/>
  </r>
  <r>
    <s v="COGECOM"/>
    <n v="20688570"/>
    <s v="MARCOS JAPIASSU AMARO"/>
    <s v="OUT"/>
    <s v="OUTROS"/>
    <n v="27131203149"/>
    <x v="0"/>
    <s v="461.27"/>
    <s v="73.29"/>
    <n v="174"/>
    <s v="NÃO LOCALIZADO"/>
    <s v="TELEFONES SEM ATENDIMENTO"/>
    <n v="7"/>
    <x v="11"/>
    <s v="14.11"/>
    <s v="gleise"/>
    <s v="91 a 180"/>
    <s v="ACIONAMENTO"/>
    <x v="0"/>
  </r>
  <r>
    <s v="COGECOM"/>
    <n v="10029676353"/>
    <s v="ANTONIO JOSÉ  AMADOR SILVA"/>
    <s v="OUT"/>
    <s v="OUTROS"/>
    <n v="59240539204"/>
    <x v="0"/>
    <s v="58.82"/>
    <s v="14.54"/>
    <n v="174"/>
    <s v="AG RESPOSTA 1º CONTATO"/>
    <s v="ENVIADO MSG/E-MAIL 1º CONTATO"/>
    <n v="7"/>
    <x v="11"/>
    <s v="15.33"/>
    <s v="l.quadros"/>
    <s v="91 a 180"/>
    <s v="ACIONAMENTO"/>
    <x v="4"/>
  </r>
  <r>
    <s v="COGECOM"/>
    <n v="3010231688"/>
    <s v="MARINEY FRANCISCA DA SILVA GONCALVES"/>
    <s v="OUT"/>
    <s v="OUTROS"/>
    <n v="4742735633"/>
    <x v="0"/>
    <s v="663.23"/>
    <s v="134.22"/>
    <n v="153"/>
    <s v="SEM INTERESSE"/>
    <s v="SEM INTERESSE"/>
    <n v="7"/>
    <x v="11"/>
    <s v="10.24"/>
    <s v="anakeppe"/>
    <s v="91 a 180"/>
    <s v="CPC"/>
    <x v="1"/>
  </r>
  <r>
    <s v="COGECOM"/>
    <n v="10037203108"/>
    <s v="SOUSA ADVOCACIA"/>
    <s v="OUT"/>
    <s v="OUTROS"/>
    <n v="26949517000115"/>
    <x v="0"/>
    <s v="296.95"/>
    <s v="74.93"/>
    <n v="160"/>
    <s v="SEM INTERESSE"/>
    <s v="SEM INTERESSE"/>
    <n v="7"/>
    <x v="11"/>
    <s v="9.30"/>
    <s v="anakeppe"/>
    <s v="91 a 180"/>
    <s v="CPC"/>
    <x v="1"/>
  </r>
  <r>
    <s v="COGECOM"/>
    <n v="10033326302"/>
    <s v="HERIKA BARROS GALVAO MOREIRA"/>
    <s v="OUT"/>
    <s v="OUTROS"/>
    <n v="3530296104"/>
    <x v="0"/>
    <s v="482.49"/>
    <s v="118.98"/>
    <n v="149"/>
    <s v="EM NEGOCIAÇÃO"/>
    <s v="NEGOCIAÇÃO VIA WHATSAPP"/>
    <n v="7"/>
    <x v="11"/>
    <s v="14.49"/>
    <s v="roberto"/>
    <s v="91 a 180"/>
    <s v="CPC"/>
    <x v="2"/>
  </r>
  <r>
    <s v="COGECOM"/>
    <n v="3012011801"/>
    <s v="MARCOS PAULO MARTINS DE JESUS"/>
    <s v="OUT"/>
    <s v="OUTROS"/>
    <n v="9866583678"/>
    <x v="0"/>
    <s v="551.39"/>
    <s v="346.63"/>
    <n v="144"/>
    <s v="NÃO LOCALIZADO"/>
    <s v="TELEFONES SEM ATENDIMENTO"/>
    <n v="7"/>
    <x v="11"/>
    <s v="14.37"/>
    <s v="gleise"/>
    <s v="91 a 180"/>
    <s v="ACIONAMENTO"/>
    <x v="0"/>
  </r>
  <r>
    <s v="COGECOM"/>
    <n v="105403130"/>
    <s v="LUIZ HENRIQUE DE MOURA SILVA"/>
    <s v="OUT"/>
    <s v="OUTROS"/>
    <n v="9321081992"/>
    <x v="0"/>
    <s v="417.50"/>
    <s v="417.50"/>
    <n v="167"/>
    <s v="NÃO LOCALIZADO"/>
    <s v="TELEFONES SEM ATENDIMENTO"/>
    <n v="7"/>
    <x v="11"/>
    <s v="14.34"/>
    <s v="gleise"/>
    <s v="91 a 180"/>
    <s v="ACIONAMENTO"/>
    <x v="0"/>
  </r>
  <r>
    <s v="COGECOM"/>
    <n v="108048098"/>
    <s v="JHONATAS COUTO"/>
    <s v="OUT"/>
    <s v="OUTROS"/>
    <n v="7052485931"/>
    <x v="0"/>
    <s v="496.71"/>
    <s v="496.71"/>
    <n v="151"/>
    <s v="NÃO LOCALIZADO"/>
    <s v="TELEFONES SEM ATENDIMENTO"/>
    <n v="7"/>
    <x v="11"/>
    <s v="10.48"/>
    <s v="gleise"/>
    <s v="91 a 180"/>
    <s v="ACIONAMENTO"/>
    <x v="0"/>
  </r>
  <r>
    <s v="COGECOM"/>
    <n v="64198375"/>
    <s v="NAIMA CAROLINA DA COSTA"/>
    <s v="OUT"/>
    <s v="OUTROS"/>
    <n v="6756559940"/>
    <x v="0"/>
    <s v="147.68"/>
    <s v="56.27"/>
    <n v="157"/>
    <s v="SEM INTERESSE"/>
    <s v="NEGOCIAÇÃO VIA TELEFONE"/>
    <n v="7"/>
    <x v="11"/>
    <s v="11.24"/>
    <s v="anakeppe"/>
    <s v="91 a 180"/>
    <s v="CPC"/>
    <x v="1"/>
  </r>
  <r>
    <s v="COGECOM"/>
    <n v="78912474"/>
    <s v="TENNESEE COMÉRCIO DE BEBIDAS LTDA"/>
    <s v="OUT"/>
    <s v="OUTROS"/>
    <n v="26695871000160"/>
    <x v="0"/>
    <s v="1234.80"/>
    <s v="388.02"/>
    <n v="177"/>
    <s v="SEM INTERESSE"/>
    <s v="NEGOCIAÇÃO VIA TELEFONE"/>
    <n v="7"/>
    <x v="11"/>
    <s v="16.25"/>
    <s v="anakeppe"/>
    <s v="91 a 180"/>
    <s v="CPC"/>
    <x v="1"/>
  </r>
  <r>
    <s v="COGECOM"/>
    <n v="3011017184"/>
    <s v="AMANDA GABRIELA ALMEIDA SALGADO"/>
    <s v="OUT"/>
    <s v="OUTROS"/>
    <n v="13460055677"/>
    <x v="0"/>
    <s v="284.39"/>
    <s v="54.87"/>
    <n v="153"/>
    <s v="NÃO LOCALIZADO"/>
    <s v="TELEFONES SEM ATENDIMENTO"/>
    <n v="7"/>
    <x v="11"/>
    <s v="10.19"/>
    <s v="gleise"/>
    <s v="91 a 180"/>
    <s v="ACIONAMENTO"/>
    <x v="0"/>
  </r>
  <r>
    <s v="COGECOM"/>
    <n v="3014036319"/>
    <s v="CAIQUE DA CONCEICAO DOS SANTOS"/>
    <s v="OUT"/>
    <s v="OUTROS"/>
    <n v="70015733610"/>
    <x v="0"/>
    <s v="294.85"/>
    <s v="75.99"/>
    <n v="191"/>
    <s v="NÃO LOCALIZADO"/>
    <s v="TELEFONES SEM ATENDIMENTO"/>
    <n v="7"/>
    <x v="11"/>
    <s v="10.16"/>
    <s v="gleise"/>
    <s v="181 a 360"/>
    <s v="ACIONAMENTO"/>
    <x v="0"/>
  </r>
  <r>
    <s v="COGECOM"/>
    <n v="3004662679"/>
    <s v="IVONE DE CASSIA FERREIRA"/>
    <s v="OUT"/>
    <s v="OUTROS"/>
    <n v="48663085672"/>
    <x v="0"/>
    <s v="141.21"/>
    <s v="63.18"/>
    <n v="153"/>
    <s v="EM NEGOCIAÇÃO"/>
    <s v="NEGOCIAÇÃO VIA WHATSAPP"/>
    <n v="7"/>
    <x v="11"/>
    <s v="14.11"/>
    <s v="roberto"/>
    <s v="91 a 180"/>
    <s v="CPC"/>
    <x v="2"/>
  </r>
  <r>
    <s v="COGECOM"/>
    <n v="36418030"/>
    <s v="PLANTAE PAPAYA HOT DOG LTDA"/>
    <s v="OUT"/>
    <s v="OUTROS"/>
    <n v="34330371000153"/>
    <x v="0"/>
    <s v="3836.06"/>
    <s v="340.50"/>
    <n v="128"/>
    <s v="NÃO LOCALIZADO"/>
    <s v="TELEFONES SEM ATENDIMENTO"/>
    <n v="7"/>
    <x v="11"/>
    <s v="11.05"/>
    <s v="gleise"/>
    <s v="91 a 180"/>
    <s v="ACIONAMENTO"/>
    <x v="0"/>
  </r>
  <r>
    <s v="COGECOM"/>
    <n v="3007038605"/>
    <s v="MARIA DE FATIMA DOS SANTOS FERREIRA"/>
    <s v="OUT"/>
    <s v="OUTROS"/>
    <n v="93669070672"/>
    <x v="0"/>
    <s v="110.22"/>
    <s v="261.22"/>
    <n v="140"/>
    <s v="NÃO LOCALIZADO"/>
    <s v="TELEFONES SEM ATENDIMENTO"/>
    <n v="7"/>
    <x v="11"/>
    <s v="11.55"/>
    <s v="gleise"/>
    <s v="91 a 180"/>
    <s v="ACIONAMENTO"/>
    <x v="0"/>
  </r>
  <r>
    <s v="COGECOM"/>
    <n v="25147790"/>
    <s v="SUZANA APARECIDA BORTOLATTO DA SILVA CAVALCANTE"/>
    <s v="OUT"/>
    <s v="OUTROS"/>
    <n v="96569590944"/>
    <x v="0"/>
    <s v="291.63"/>
    <s v="154.85"/>
    <n v="127"/>
    <s v="EM NEGOCIAÇÃO"/>
    <s v="NEGOCIAÇÃO VIA WHATSAPP"/>
    <n v="7"/>
    <x v="11"/>
    <s v="14.17"/>
    <s v="roberto"/>
    <s v="91 a 180"/>
    <s v="CPC"/>
    <x v="2"/>
  </r>
  <r>
    <s v="COGECOM"/>
    <n v="2460078360"/>
    <s v="MARIA LUZINETE GOMES DOS SANTOS"/>
    <s v="OUT"/>
    <s v="OUTROS"/>
    <n v="71398740187"/>
    <x v="0"/>
    <s v="92.90"/>
    <s v="43.62"/>
    <n v="146"/>
    <s v="AG RESPOSTA 1º CONTATO"/>
    <s v="ENVIADO MSG/E-MAIL 1º CONTATO"/>
    <n v="7"/>
    <x v="11"/>
    <s v="14.36"/>
    <s v="l.quadros"/>
    <s v="91 a 180"/>
    <s v="ACIONAMENTO"/>
    <x v="4"/>
  </r>
  <r>
    <s v="COGECOM"/>
    <n v="4002847263"/>
    <s v="PEDRO BORTOLINI JUNIOR"/>
    <s v="OUT"/>
    <s v="OUTROS"/>
    <n v="1313600008"/>
    <x v="0"/>
    <s v="147.90"/>
    <s v="147.90"/>
    <n v="85"/>
    <s v="SEM INTERESSE"/>
    <s v="NEGOCIAÇÃO VIA TELEFONE"/>
    <n v="7"/>
    <x v="11"/>
    <s v="15.22"/>
    <s v="gleise"/>
    <s v="61 a 90"/>
    <s v="CPC"/>
    <x v="1"/>
  </r>
  <r>
    <s v="COGECOM"/>
    <n v="3091208904"/>
    <s v="MICHELLY RUCKERT BOM"/>
    <s v="OUT"/>
    <s v="OUTROS"/>
    <n v="2544657065"/>
    <x v="0"/>
    <s v="294.99"/>
    <s v="198.09"/>
    <n v="116"/>
    <s v="EM NEGOCIAÇÃO"/>
    <s v="NEGOCIAÇÃO VIA WHATSAPP"/>
    <n v="7"/>
    <x v="11"/>
    <s v="14.21"/>
    <s v="roberto"/>
    <s v="91 a 180"/>
    <s v="CPC"/>
    <x v="2"/>
  </r>
  <r>
    <s v="COGECOM"/>
    <n v="4000576186"/>
    <s v="H STORE LTDAME"/>
    <s v="OUT"/>
    <s v="OUTROS"/>
    <n v="16549640000195"/>
    <x v="0"/>
    <s v="1375.23"/>
    <s v="637.07"/>
    <n v="90"/>
    <s v="AG RESPOSTA 1º CONTATO"/>
    <s v="GERAÇÃO DE ACORDO"/>
    <n v="8"/>
    <x v="11"/>
    <s v="14.53"/>
    <s v="l.quadros"/>
    <s v="61 a 90"/>
    <s v="CPC"/>
    <x v="4"/>
  </r>
  <r>
    <s v="COGECOM"/>
    <n v="87205912"/>
    <s v="JOAO FELIPE RODRIGUES"/>
    <s v="OUT"/>
    <s v="OUTROS"/>
    <n v="6813533924"/>
    <x v="0"/>
    <s v="11686.51"/>
    <s v="2233.89"/>
    <n v="162"/>
    <s v="SEM INTERESSE"/>
    <s v="NEGOCIAÇÃO VIA TELEFONE"/>
    <n v="7"/>
    <x v="11"/>
    <s v="16.23"/>
    <s v="gleise"/>
    <s v="91 a 180"/>
    <s v="CPC"/>
    <x v="1"/>
  </r>
  <r>
    <s v="COGECOM"/>
    <n v="13214354"/>
    <s v="NEIDE APARECIDA DE JESUS CUNHA"/>
    <s v="OUT"/>
    <s v="OUTROS"/>
    <n v="4155824825"/>
    <x v="0"/>
    <s v="1041.03"/>
    <s v="635.90"/>
    <n v="115"/>
    <s v="NÃO LOCALIZADO"/>
    <s v="TELEFONES SEM ATENDIMENTO"/>
    <n v="7"/>
    <x v="11"/>
    <s v="14.30"/>
    <s v="gleise"/>
    <s v="91 a 180"/>
    <s v="ACIONAMENTO"/>
    <x v="0"/>
  </r>
  <r>
    <s v="COGECOM"/>
    <n v="3085030317"/>
    <s v="DIOGO SALVADOR"/>
    <s v="OUT"/>
    <s v="OUTROS"/>
    <n v="69937915015"/>
    <x v="0"/>
    <s v="873.22"/>
    <s v="873.22"/>
    <n v="131"/>
    <s v="SEM INTERESSE"/>
    <s v="NEGOCIAÇÃO VIA TELEFONE"/>
    <n v="7"/>
    <x v="11"/>
    <s v="10.56"/>
    <s v="anakeppe"/>
    <s v="91 a 180"/>
    <s v="CPC"/>
    <x v="1"/>
  </r>
  <r>
    <s v="COGECOM"/>
    <n v="47341394"/>
    <s v="JARI NEVES DE SOUZA"/>
    <s v="OUT"/>
    <s v="OUTROS"/>
    <n v="20772149100"/>
    <x v="0"/>
    <s v="2602.35"/>
    <s v="1347.40"/>
    <n v="124"/>
    <s v="NÃO LOCALIZADO"/>
    <s v="TELEFONES SEM ATENDIMENTO"/>
    <n v="7"/>
    <x v="11"/>
    <s v="16.58"/>
    <s v="gleise"/>
    <s v="91 a 180"/>
    <s v="ACIONAMENTO"/>
    <x v="0"/>
  </r>
  <r>
    <s v="COGECOM"/>
    <n v="87831465"/>
    <s v="MARCELO IVANOSKI"/>
    <s v="OUT"/>
    <s v="OUTROS"/>
    <n v="956544967"/>
    <x v="0"/>
    <s v="11221.83"/>
    <s v="5396.96"/>
    <n v="116"/>
    <s v="NÃO LOCALIZADO"/>
    <s v="TELEFONES SEM ATENDIMENTO"/>
    <n v="7"/>
    <x v="11"/>
    <s v="14.21"/>
    <s v="gleise"/>
    <s v="91 a 180"/>
    <s v="ACIONAMENTO"/>
    <x v="0"/>
  </r>
  <r>
    <s v="COGECOM"/>
    <n v="3000876464"/>
    <s v="VLADEMIR CESARIO REIS"/>
    <s v="OUT"/>
    <s v="OUTROS"/>
    <n v="1203054610"/>
    <x v="0"/>
    <s v="109.24"/>
    <s v="109.24"/>
    <n v="119"/>
    <s v="EM NEGOCIAÇÃO"/>
    <s v="NEGOCIAÇÃO VIA WHATSAPP"/>
    <n v="7"/>
    <x v="11"/>
    <s v="14.18"/>
    <s v="roberto"/>
    <s v="91 a 180"/>
    <s v="CPC"/>
    <x v="2"/>
  </r>
  <r>
    <s v="COGECOM"/>
    <n v="97981095"/>
    <s v="RESIDENCIAL VAN GOGH"/>
    <s v="OUT"/>
    <s v="OUTROS"/>
    <n v="22674008000176"/>
    <x v="1"/>
    <s v="0.00"/>
    <s v="122.49"/>
    <n v="75"/>
    <s v="EM NEGOCIAÇÃO"/>
    <s v="NEGOCIAÇÃO VIA WHATSAPP"/>
    <n v="7"/>
    <x v="11"/>
    <s v="8.47"/>
    <s v="roberto"/>
    <s v="61 a 90"/>
    <s v="CPC"/>
    <x v="2"/>
  </r>
  <r>
    <s v="COGECOM"/>
    <n v="88292053"/>
    <s v="MAXIPAN PÃES E DOCES LTDA"/>
    <s v="OUT"/>
    <s v="OUTROS"/>
    <n v="81702565000112"/>
    <x v="0"/>
    <s v="4405.21"/>
    <s v="4277.42"/>
    <n v="63"/>
    <s v="NÃO LOCALIZADO"/>
    <s v="TELEFONES SEM ATENDIMENTO"/>
    <n v="7"/>
    <x v="11"/>
    <s v="16.01"/>
    <s v="gleise"/>
    <s v="61 a 90"/>
    <s v="ACIONAMENTO"/>
    <x v="0"/>
  </r>
  <r>
    <s v="COGECOM"/>
    <n v="15651198"/>
    <s v="LILIANE JESUS SILVA NORONHA"/>
    <s v="OUT"/>
    <s v="OUTROS"/>
    <n v="52144356149"/>
    <x v="0"/>
    <s v="122.26"/>
    <s v="122.26"/>
    <n v="58"/>
    <s v="NÃO LOCALIZADO"/>
    <s v="TELEFONES SEM ATENDIMENTO"/>
    <n v="7"/>
    <x v="11"/>
    <s v="15.31"/>
    <s v="gleise"/>
    <s v="31 a 60"/>
    <s v="ACIONAMENTO"/>
    <x v="0"/>
  </r>
  <r>
    <s v="COGECOM"/>
    <n v="743844"/>
    <s v="LUCIANA RUCK"/>
    <s v="OUT"/>
    <s v="OUTROS"/>
    <n v="52281942000199"/>
    <x v="0"/>
    <s v="2341.77"/>
    <s v="1200.74"/>
    <n v="57"/>
    <s v="NÃO LOCALIZADO"/>
    <s v="TELEFONES SEM ATENDIMENTO"/>
    <n v="7"/>
    <x v="11"/>
    <s v="17.00"/>
    <s v="gleise"/>
    <s v="31 a 60"/>
    <s v="ACIONAMENTO"/>
    <x v="0"/>
  </r>
  <r>
    <s v="COGECOM"/>
    <n v="14982389"/>
    <s v="SONI MAR BARBOSA DIAS"/>
    <s v="OUT"/>
    <s v="OUTROS"/>
    <n v="31601340168"/>
    <x v="0"/>
    <s v="1030.33"/>
    <s v="114.15"/>
    <n v="307"/>
    <s v="NÃO LOCALIZADO"/>
    <s v="TELEFONES SEM ATENDIMENTO"/>
    <n v="8"/>
    <x v="12"/>
    <s v="9.10"/>
    <s v="gleise"/>
    <s v="181 a 360"/>
    <s v="ACIONAMENTO"/>
    <x v="0"/>
  </r>
  <r>
    <s v="COGECOM"/>
    <n v="10009611256"/>
    <s v="MARLENY DA PENHA OLIVEIRA SANTANA"/>
    <s v="OUT"/>
    <s v="OUTROS"/>
    <n v="28238737168"/>
    <x v="0"/>
    <s v="972.21"/>
    <s v="80.35"/>
    <n v="186"/>
    <s v="ACORDO VIGENTE COLCHÃO EM DIA"/>
    <s v="NEGOCIAÇÃO VIA TELEFONE"/>
    <n v="8"/>
    <x v="12"/>
    <s v="15.52"/>
    <s v="anakeppe"/>
    <s v="181 a 360"/>
    <s v="CPC"/>
    <x v="2"/>
  </r>
  <r>
    <s v="COGECOM"/>
    <n v="109086767"/>
    <s v="ALEXANDRE SMIGUEL FAYAD"/>
    <s v="OUT"/>
    <s v="OUTROS"/>
    <n v="5747272993"/>
    <x v="0"/>
    <s v="1333.32"/>
    <s v="102.27"/>
    <n v="690"/>
    <s v="NÃO LOCALIZADO"/>
    <s v="TELEFONES SEM ATENDIMENTO"/>
    <n v="8"/>
    <x v="12"/>
    <s v="13.14"/>
    <s v="gleise"/>
    <s v="Acima de 361"/>
    <s v="ACIONAMENTO"/>
    <x v="0"/>
  </r>
  <r>
    <s v="COGECOM"/>
    <n v="106595296"/>
    <s v="ANDICLEIA CORDEIRO DA COSTA"/>
    <s v="OUT"/>
    <s v="OUTROS"/>
    <n v="9882726950"/>
    <x v="0"/>
    <s v="745.21"/>
    <s v="333.09"/>
    <n v="462"/>
    <s v="NÃO LOCALIZADO"/>
    <s v="TELEFONES SEM ATENDIMENTO"/>
    <n v="8"/>
    <x v="12"/>
    <s v="11.05"/>
    <s v="gleise"/>
    <s v="Acima de 361"/>
    <s v="ACIONAMENTO"/>
    <x v="0"/>
  </r>
  <r>
    <s v="COGECOM"/>
    <n v="3014641223"/>
    <s v="ANEDINA RODRIGUES DOS SANTOS"/>
    <s v="OUT"/>
    <s v="OUTROS"/>
    <n v="87281198604"/>
    <x v="0"/>
    <s v="227.83"/>
    <s v="95.08"/>
    <n v="348"/>
    <s v="NÃO LOCALIZADO"/>
    <s v="TELEFONES SEM ATENDIMENTO"/>
    <n v="8"/>
    <x v="12"/>
    <s v="9.53"/>
    <s v="gleise"/>
    <s v="181 a 360"/>
    <s v="ACIONAMENTO"/>
    <x v="0"/>
  </r>
  <r>
    <s v="COGECOM"/>
    <n v="17417478"/>
    <s v="ANTONIO DOMINGOS DA COSTA"/>
    <s v="OUT"/>
    <s v="OUTROS"/>
    <n v="8606234168"/>
    <x v="0"/>
    <s v="1071.75"/>
    <s v="136.83"/>
    <n v="371"/>
    <s v="NÃO LOCALIZADO"/>
    <s v="TELEFONES SEM ATENDIMENTO"/>
    <n v="8"/>
    <x v="12"/>
    <s v="9.35"/>
    <s v="anakeppe"/>
    <s v="Acima de 361"/>
    <s v="ACIONAMENTO"/>
    <x v="0"/>
  </r>
  <r>
    <s v="COGECOM"/>
    <n v="10006466646"/>
    <s v="BEATRIZ SILVA DE VASCONCELOS"/>
    <s v="OUT"/>
    <s v="OUTROS"/>
    <n v="6648994126"/>
    <x v="0"/>
    <s v="1715.20"/>
    <s v="237.97"/>
    <n v="248"/>
    <s v="NÃO LOCALIZADO"/>
    <s v="TELEFONES SEM ATENDIMENTO"/>
    <n v="8"/>
    <x v="12"/>
    <s v="9.27"/>
    <s v="anakeppe"/>
    <s v="181 a 360"/>
    <s v="ACIONAMENTO"/>
    <x v="0"/>
  </r>
  <r>
    <s v="COGECOM"/>
    <n v="56296506"/>
    <s v="BRUNO BORGES PREIS"/>
    <s v="OUT"/>
    <s v="OUTROS"/>
    <n v="9007639900"/>
    <x v="0"/>
    <s v="680.16"/>
    <s v="377.38"/>
    <n v="395"/>
    <s v="NÃO LOCALIZADO"/>
    <s v="TELEFONES SEM ATENDIMENTO"/>
    <n v="8"/>
    <x v="12"/>
    <s v="10.54"/>
    <s v="gleise"/>
    <s v="Acima de 361"/>
    <s v="ACIONAMENTO"/>
    <x v="0"/>
  </r>
  <r>
    <s v="COGECOM"/>
    <n v="44021137"/>
    <s v="BRUNO RAMOS DE OLIVEIRA"/>
    <s v="OUT"/>
    <s v="OUTROS"/>
    <n v="16519919799"/>
    <x v="0"/>
    <s v="54.30"/>
    <s v="28.84"/>
    <n v="375"/>
    <s v="NÃO LOCALIZADO"/>
    <s v="TELEFONES SEM ATENDIMENTO"/>
    <n v="8"/>
    <x v="12"/>
    <s v="9.12"/>
    <s v="gleise"/>
    <s v="Acima de 361"/>
    <s v="ACIONAMENTO"/>
    <x v="0"/>
  </r>
  <r>
    <s v="COGECOM"/>
    <n v="4002399316"/>
    <s v="CARLA DANIELA DOS SANTOS"/>
    <s v="OUT"/>
    <s v="OUTROS"/>
    <n v="1131414080"/>
    <x v="0"/>
    <s v="2131.04"/>
    <s v="290.43"/>
    <n v="323"/>
    <s v="NÃO LOCALIZADO"/>
    <s v="TELEFONES SEM ATENDIMENTO"/>
    <n v="8"/>
    <x v="12"/>
    <s v="9.24"/>
    <s v="anakeppe"/>
    <s v="181 a 360"/>
    <s v="ACIONAMENTO"/>
    <x v="0"/>
  </r>
  <r>
    <s v="COGECOM"/>
    <n v="65898826"/>
    <s v="CRISTIANO DIAS DE SOUZA"/>
    <s v="OUT"/>
    <s v="OUTROS"/>
    <n v="1691371980"/>
    <x v="0"/>
    <s v="979.85"/>
    <s v="275.09"/>
    <n v="164"/>
    <s v="NÃO LOCALIZADO"/>
    <s v="TELEFONES SEM ATENDIMENTO"/>
    <n v="8"/>
    <x v="12"/>
    <s v="15.40"/>
    <s v="anakeppe"/>
    <s v="91 a 180"/>
    <s v="ACIONAMENTO"/>
    <x v="0"/>
  </r>
  <r>
    <s v="COGECOM"/>
    <n v="86164970"/>
    <s v="CYNTHIA DINIS DO NASCIMENTO ALVES"/>
    <s v="OUT"/>
    <s v="OUTROS"/>
    <n v="38734888845"/>
    <x v="0"/>
    <s v="1338.30"/>
    <s v="205.42"/>
    <n v="415"/>
    <s v="NÃO LOCALIZADO"/>
    <s v="TELEFONES SEM ATENDIMENTO"/>
    <n v="8"/>
    <x v="12"/>
    <s v="11.35"/>
    <s v="gleise"/>
    <s v="Acima de 361"/>
    <s v="ACIONAMENTO"/>
    <x v="0"/>
  </r>
  <r>
    <s v="COGECOM"/>
    <n v="92068405"/>
    <s v="DANIEL TAKETA DOS SANTOS LIMA"/>
    <s v="OUT"/>
    <s v="OUTROS"/>
    <n v="2699194905"/>
    <x v="0"/>
    <s v="324.75"/>
    <s v="209.91"/>
    <n v="199"/>
    <s v="EM NEGOCIAÇÃO"/>
    <s v="TELEFONES SEM ATENDIMENTO"/>
    <n v="8"/>
    <x v="12"/>
    <s v="15.37"/>
    <s v="anakeppe"/>
    <s v="181 a 360"/>
    <s v="ACIONAMENTO"/>
    <x v="2"/>
  </r>
  <r>
    <s v="COGECOM"/>
    <n v="106415158"/>
    <s v="DIEGO FELIPE SOARES"/>
    <s v="OUT"/>
    <s v="OUTROS"/>
    <n v="6793227955"/>
    <x v="0"/>
    <s v="1936.88"/>
    <s v="428.97"/>
    <n v="200"/>
    <s v="NÃO LOCALIZADO"/>
    <s v="TELEFONES SEM ATENDIMENTO"/>
    <n v="8"/>
    <x v="12"/>
    <s v="9.45"/>
    <s v="anakeppe"/>
    <s v="181 a 360"/>
    <s v="ACIONAMENTO"/>
    <x v="0"/>
  </r>
  <r>
    <s v="COGECOM"/>
    <n v="3013986684"/>
    <s v="DOUGLAS RAONI RIBEIRO SILVA"/>
    <s v="OUT"/>
    <s v="OUTROS"/>
    <n v="10083931694"/>
    <x v="1"/>
    <s v="277.16"/>
    <s v="77.04"/>
    <n v="190"/>
    <s v="EM NEGOCIAÇÃO"/>
    <s v="NEGOCIAÇÃO VIA WHATSAPP"/>
    <n v="8"/>
    <x v="12"/>
    <s v="9.40"/>
    <s v="anne"/>
    <s v="181 a 360"/>
    <s v="CPC"/>
    <x v="2"/>
  </r>
  <r>
    <s v="COGECOM"/>
    <n v="3085368816"/>
    <s v="DOUGLAS WILIAM SILVA DE SOUZA"/>
    <s v="OUT"/>
    <s v="OUTROS"/>
    <n v="83924680078"/>
    <x v="0"/>
    <s v="313.18"/>
    <s v="183.00"/>
    <n v="328"/>
    <s v="SEM INTERESSE"/>
    <s v="SEM INTERESSE"/>
    <n v="8"/>
    <x v="12"/>
    <s v="16.35"/>
    <s v="anakeppe"/>
    <s v="181 a 360"/>
    <s v="CPC"/>
    <x v="1"/>
  </r>
  <r>
    <s v="COGECOM"/>
    <n v="10033056054"/>
    <s v="EDGAR DIAS RODRIGUES"/>
    <s v="OUT"/>
    <s v="OUTROS"/>
    <n v="87287994100"/>
    <x v="0"/>
    <s v="317.27"/>
    <s v="106.42"/>
    <n v="224"/>
    <s v="NÃO LOCALIZADO"/>
    <s v="TELEFONES SEM ATENDIMENTO"/>
    <n v="8"/>
    <x v="12"/>
    <s v="17.12"/>
    <s v="l.quadros"/>
    <s v="181 a 360"/>
    <s v="ACIONAMENTO"/>
    <x v="0"/>
  </r>
  <r>
    <s v="COGECOM"/>
    <n v="3004227424"/>
    <s v="EDSON CARDOSO DE ALMEIDA"/>
    <s v="OUT"/>
    <s v="OUTROS"/>
    <n v="64258475653"/>
    <x v="0"/>
    <s v="111.87"/>
    <s v="111.87"/>
    <n v="366"/>
    <s v="EM NEGOCIAÇÃO"/>
    <s v="NEGOCIAÇÃO VIA WHATSAPP"/>
    <n v="8"/>
    <x v="12"/>
    <s v="13.12"/>
    <s v="anne"/>
    <s v="Acima de 361"/>
    <s v="CPC"/>
    <x v="2"/>
  </r>
  <r>
    <s v="COGECOM"/>
    <n v="3003656813"/>
    <s v="EDSON CARLOS DE SOUSA"/>
    <s v="OUT"/>
    <s v="OUTROS"/>
    <n v="77734254691"/>
    <x v="0"/>
    <s v="2930.21"/>
    <s v="588.05"/>
    <n v="163"/>
    <s v="NÃO LOCALIZADO"/>
    <s v="TELEFONES SEM ATENDIMENTO"/>
    <n v="8"/>
    <x v="12"/>
    <s v="10.43"/>
    <s v="gleise"/>
    <s v="91 a 180"/>
    <s v="ACIONAMENTO"/>
    <x v="0"/>
  </r>
  <r>
    <s v="COGECOM"/>
    <n v="3012804080"/>
    <s v="ERIKA LUCIANA FERREIRA EURIPEDES"/>
    <s v="OUT"/>
    <s v="OUTROS"/>
    <n v="4306753646"/>
    <x v="0"/>
    <s v="736.68"/>
    <s v="84.66"/>
    <n v="440"/>
    <s v="NÃO LOCALIZADO"/>
    <s v="TELEFONES SEM ATENDIMENTO"/>
    <n v="8"/>
    <x v="12"/>
    <s v="9.54"/>
    <s v="gleise"/>
    <s v="Acima de 361"/>
    <s v="ACIONAMENTO"/>
    <x v="0"/>
  </r>
  <r>
    <s v="COGECOM"/>
    <n v="3011140314"/>
    <s v="FILIPE BATISTA ARAUJO"/>
    <s v="OUT"/>
    <s v="OUTROS"/>
    <n v="3722501652"/>
    <x v="0"/>
    <s v="266.41"/>
    <s v="167.58"/>
    <n v="162"/>
    <s v="NÃO LOCALIZADO"/>
    <s v="TELEFONES SEM ATENDIMENTO"/>
    <n v="8"/>
    <x v="12"/>
    <s v="9.25"/>
    <s v="gleise"/>
    <s v="91 a 180"/>
    <s v="ACIONAMENTO"/>
    <x v="0"/>
  </r>
  <r>
    <s v="COGECOM"/>
    <n v="200066717"/>
    <s v="GECIVALDO LIMA DA SILVA"/>
    <s v="OUT"/>
    <s v="OUTROS"/>
    <n v="548903140"/>
    <x v="0"/>
    <s v="209.37"/>
    <s v="30.76"/>
    <n v="223"/>
    <s v="NÃO LOCALIZADO"/>
    <s v="TELEFONES SEM ATENDIMENTO"/>
    <n v="8"/>
    <x v="12"/>
    <s v="10.21"/>
    <s v="gleise"/>
    <s v="181 a 360"/>
    <s v="ACIONAMENTO"/>
    <x v="0"/>
  </r>
  <r>
    <s v="COGECOM"/>
    <n v="3093229339"/>
    <s v="GESSICA GALLAS"/>
    <s v="OUT"/>
    <s v="OUTROS"/>
    <n v="3169434012"/>
    <x v="0"/>
    <s v="1534.52"/>
    <s v="297.79"/>
    <n v="203"/>
    <s v="NÃO LOCALIZADO"/>
    <s v="TELEFONES SEM ATENDIMENTO"/>
    <n v="8"/>
    <x v="12"/>
    <s v="9.22"/>
    <s v="gleise"/>
    <s v="181 a 360"/>
    <s v="ACIONAMENTO"/>
    <x v="0"/>
  </r>
  <r>
    <s v="COGECOM"/>
    <n v="99384418"/>
    <s v="GISELE APARECIDA LOPES"/>
    <s v="OUT"/>
    <s v="OUTROS"/>
    <n v="3607819939"/>
    <x v="0"/>
    <s v="1038.39"/>
    <s v="246.90"/>
    <n v="477"/>
    <s v="NÃO LOCALIZADO"/>
    <s v="TELEFONES SEM ATENDIMENTO"/>
    <n v="8"/>
    <x v="12"/>
    <s v="11.24"/>
    <s v="gleise"/>
    <s v="Acima de 361"/>
    <s v="ACIONAMENTO"/>
    <x v="0"/>
  </r>
  <r>
    <s v="COGECOM"/>
    <n v="3095137972"/>
    <s v="IARA JOSEANE PINTO DOS SANTOS"/>
    <s v="OUT"/>
    <s v="OUTROS"/>
    <n v="90580923053"/>
    <x v="0"/>
    <s v="731.40"/>
    <s v="291.28"/>
    <n v="392"/>
    <s v="NÃO LOCALIZADO"/>
    <s v="TELEFONES SEM ATENDIMENTO"/>
    <n v="8"/>
    <x v="12"/>
    <s v="11.17"/>
    <s v="gleise"/>
    <s v="Acima de 361"/>
    <s v="ACIONAMENTO"/>
    <x v="0"/>
  </r>
  <r>
    <s v="COGECOM"/>
    <n v="10029979763"/>
    <s v="IRAMILSON PAIVA DOS SANTOS"/>
    <s v="OUT"/>
    <s v="OUTROS"/>
    <n v="84463961149"/>
    <x v="0"/>
    <s v="341.41"/>
    <s v="39.12"/>
    <n v="265"/>
    <s v="NÃO LOCALIZADO"/>
    <s v="TELEFONES SEM ATENDIMENTO"/>
    <n v="8"/>
    <x v="12"/>
    <s v="10.18"/>
    <s v="gleise"/>
    <s v="181 a 360"/>
    <s v="ACIONAMENTO"/>
    <x v="0"/>
  </r>
  <r>
    <s v="COGECOM"/>
    <n v="6751440"/>
    <s v="JEFFERSON SIMEI"/>
    <s v="OUT"/>
    <s v="OUTROS"/>
    <n v="58756990944"/>
    <x v="0"/>
    <s v="331.89"/>
    <s v="126.64"/>
    <n v="669"/>
    <s v="NÃO LOCALIZADO"/>
    <s v="TELEFONES SEM ATENDIMENTO"/>
    <n v="8"/>
    <x v="12"/>
    <s v="16.32"/>
    <s v="gleise"/>
    <s v="Acima de 361"/>
    <s v="ACIONAMENTO"/>
    <x v="0"/>
  </r>
  <r>
    <s v="COGECOM"/>
    <n v="2167298"/>
    <s v="JESSICA SEIXAS DA SILVA"/>
    <s v="OUT"/>
    <s v="OUTROS"/>
    <n v="10461017733"/>
    <x v="0"/>
    <s v="907.77"/>
    <s v="286.26"/>
    <n v="375"/>
    <s v="NÃO LOCALIZADO"/>
    <s v="TELEFONES SEM ATENDIMENTO"/>
    <n v="8"/>
    <x v="12"/>
    <s v="14.37"/>
    <s v="anne"/>
    <s v="Acima de 361"/>
    <s v="ACIONAMENTO"/>
    <x v="0"/>
  </r>
  <r>
    <s v="COGECOM"/>
    <n v="41389923"/>
    <s v="JJS PARTICIPACOES LTDA"/>
    <s v="OUT"/>
    <s v="OUTROS"/>
    <n v="28279468000186"/>
    <x v="0"/>
    <s v="861.88"/>
    <s v="338.58"/>
    <n v="430"/>
    <s v="NÃO LOCALIZADO"/>
    <s v="TELEFONES SEM ATENDIMENTO"/>
    <n v="8"/>
    <x v="12"/>
    <s v="9.49"/>
    <s v="anakeppe"/>
    <s v="Acima de 361"/>
    <s v="ACIONAMENTO"/>
    <x v="0"/>
  </r>
  <r>
    <s v="COGECOM"/>
    <n v="10033804794"/>
    <s v="JOANA REIS DE ARRUDA"/>
    <s v="OUT"/>
    <s v="OUTROS"/>
    <n v="351243186"/>
    <x v="0"/>
    <s v="141.39"/>
    <s v="30.76"/>
    <n v="196"/>
    <s v="AG RESPOSTA 1º CONTATO"/>
    <s v="ENVIADO MSG/E-MAIL 1º CONTATO"/>
    <n v="8"/>
    <x v="12"/>
    <s v="9.32"/>
    <s v="l.quadros"/>
    <s v="181 a 360"/>
    <s v="ACIONAMENTO"/>
    <x v="4"/>
  </r>
  <r>
    <s v="COGECOM"/>
    <n v="3092389825"/>
    <s v="JOÃO ARCELI DE SOUZA"/>
    <s v="OUT"/>
    <s v="OUTROS"/>
    <n v="55567460015"/>
    <x v="0"/>
    <s v="446.73"/>
    <s v="314.51"/>
    <n v="476"/>
    <s v="NÃO LOCALIZADO"/>
    <s v="TELEFONES SEM ATENDIMENTO"/>
    <n v="8"/>
    <x v="12"/>
    <s v="9.51"/>
    <s v="anakeppe"/>
    <s v="Acima de 361"/>
    <s v="ACIONAMENTO"/>
    <x v="0"/>
  </r>
  <r>
    <s v="COGECOM"/>
    <n v="30077023"/>
    <s v="JOSE VICENTE DE JESUS"/>
    <s v="OUT"/>
    <s v="OUTROS"/>
    <n v="13638718115"/>
    <x v="0"/>
    <s v="306.70"/>
    <s v="97.72"/>
    <n v="242"/>
    <s v="EM NEGOCIAÇÃO"/>
    <s v="TELEFONES SEM ATENDIMENTO"/>
    <n v="8"/>
    <x v="12"/>
    <s v="15.53"/>
    <s v="anakeppe"/>
    <s v="181 a 360"/>
    <s v="ACIONAMENTO"/>
    <x v="2"/>
  </r>
  <r>
    <s v="COGECOM"/>
    <n v="35390654"/>
    <s v="JOSIAS ILIBRANTE"/>
    <s v="OUT"/>
    <s v="OUTROS"/>
    <n v="72641576953"/>
    <x v="0"/>
    <s v="642.91"/>
    <s v="242.35"/>
    <n v="477"/>
    <s v="NÃO LOCALIZADO"/>
    <s v="TELEFONES SEM ATENDIMENTO"/>
    <n v="8"/>
    <x v="12"/>
    <s v="9.26"/>
    <s v="anakeppe"/>
    <s v="Acima de 361"/>
    <s v="ACIONAMENTO"/>
    <x v="0"/>
  </r>
  <r>
    <s v="COGECOM"/>
    <n v="86471414"/>
    <s v="JULIO CESAR DAMAZIO DA ROCHA"/>
    <s v="OUT"/>
    <s v="OUTROS"/>
    <n v="4925740903"/>
    <x v="0"/>
    <s v="216.60"/>
    <s v="139.03"/>
    <n v="323"/>
    <s v="NÃO LOCALIZADO"/>
    <s v="TELEFONES SEM ATENDIMENTO"/>
    <n v="8"/>
    <x v="12"/>
    <s v="11.53"/>
    <s v="gleise"/>
    <s v="181 a 360"/>
    <s v="ACIONAMENTO"/>
    <x v="0"/>
  </r>
  <r>
    <s v="COGECOM"/>
    <n v="1651730"/>
    <s v="LEONARDO BRUNO CLAUDINO DE OLIVEIRA"/>
    <s v="OUT"/>
    <s v="OUTROS"/>
    <n v="5834673937"/>
    <x v="0"/>
    <s v="473.16"/>
    <s v="162.83"/>
    <n v="321"/>
    <s v="EM NEGOCIAÇÃO"/>
    <s v="NEGOCIAÇÃO VIA WHATSAPP"/>
    <n v="8"/>
    <x v="12"/>
    <s v="16.46"/>
    <s v="anne"/>
    <s v="181 a 360"/>
    <s v="CPC"/>
    <x v="2"/>
  </r>
  <r>
    <s v="COGECOM"/>
    <n v="3006007365"/>
    <s v="LICIA BRANDAO DE OLIVEIRA"/>
    <s v="OUT"/>
    <s v="OUTROS"/>
    <n v="55156371604"/>
    <x v="0"/>
    <s v="629.74"/>
    <s v="169.08"/>
    <n v="358"/>
    <s v="SEM INTERESSE"/>
    <s v="SEM INTERESSE"/>
    <n v="8"/>
    <x v="12"/>
    <s v="16.41"/>
    <s v="anakeppe"/>
    <s v="181 a 360"/>
    <s v="CPC"/>
    <x v="1"/>
  </r>
  <r>
    <s v="COGECOM"/>
    <n v="104527978"/>
    <s v="LUAN ANTONIO GONCALVES DE SA"/>
    <s v="OUT"/>
    <s v="OUTROS"/>
    <n v="9699459905"/>
    <x v="0"/>
    <s v="309.76"/>
    <s v="25.23"/>
    <n v="486"/>
    <s v="NÃO LOCALIZADO"/>
    <s v="TELEFONES SEM ATENDIMENTO"/>
    <n v="8"/>
    <x v="12"/>
    <s v="9.40"/>
    <s v="anakeppe"/>
    <s v="Acima de 361"/>
    <s v="ACIONAMENTO"/>
    <x v="0"/>
  </r>
  <r>
    <s v="COGECOM"/>
    <n v="10014717377"/>
    <s v="LUCAS MARIANO"/>
    <s v="OUT"/>
    <s v="OUTROS"/>
    <n v="133189180"/>
    <x v="0"/>
    <s v="301.39"/>
    <s v="56.19"/>
    <n v="218"/>
    <s v="NÃO LOCALIZADO"/>
    <s v="TELEFONES SEM ATENDIMENTO"/>
    <n v="8"/>
    <x v="12"/>
    <s v="9.40"/>
    <s v="gleise"/>
    <s v="181 a 360"/>
    <s v="ACIONAMENTO"/>
    <x v="0"/>
  </r>
  <r>
    <s v="COGECOM"/>
    <n v="4001869142"/>
    <s v="LUIS HENRIQUE CUNHA PEIXOTO"/>
    <s v="OUT"/>
    <s v="OUTROS"/>
    <n v="2491383012"/>
    <x v="0"/>
    <s v="159.55"/>
    <s v="102.85"/>
    <n v="387"/>
    <s v="NÃO LOCALIZADO"/>
    <s v="TELEFONES SEM ATENDIMENTO"/>
    <n v="8"/>
    <x v="12"/>
    <s v="16.40"/>
    <s v="gleise"/>
    <s v="Acima de 361"/>
    <s v="ACIONAMENTO"/>
    <x v="0"/>
  </r>
  <r>
    <s v="COGECOM"/>
    <n v="31524680"/>
    <s v="LUIZ AUGUSTO MARINO JUNIOR"/>
    <s v="OUT"/>
    <s v="OUTROS"/>
    <n v="9273559905"/>
    <x v="0"/>
    <s v="121.27"/>
    <s v="121.27"/>
    <n v="478"/>
    <s v="SEM INTERESSE"/>
    <s v="SEM INTERESSE"/>
    <n v="8"/>
    <x v="12"/>
    <s v="16.55"/>
    <s v="anakeppe"/>
    <s v="Acima de 361"/>
    <s v="CPC"/>
    <x v="1"/>
  </r>
  <r>
    <s v="COGECOM"/>
    <n v="4002580539"/>
    <s v="MARCIA CORTE FRAGOSO"/>
    <s v="OUT"/>
    <s v="OUTROS"/>
    <n v="11989083862"/>
    <x v="0"/>
    <s v="846.60"/>
    <s v="123.31"/>
    <n v="192"/>
    <s v="NÃO LOCALIZADO"/>
    <s v="TELEFONES SEM ATENDIMENTO"/>
    <n v="8"/>
    <x v="12"/>
    <s v="13.08"/>
    <s v="gleise"/>
    <s v="181 a 360"/>
    <s v="ACIONAMENTO"/>
    <x v="0"/>
  </r>
  <r>
    <s v="COGECOM"/>
    <n v="86452487"/>
    <s v="MARCOS SOUZA MACHADO"/>
    <s v="OUT"/>
    <s v="OUTROS"/>
    <n v="667694935"/>
    <x v="0"/>
    <s v="2483.81"/>
    <s v="502.56"/>
    <n v="462"/>
    <s v="NÃO LOCALIZADO"/>
    <s v="TELEFONES SEM ATENDIMENTO"/>
    <n v="8"/>
    <x v="12"/>
    <s v="16.04"/>
    <s v="gleise"/>
    <s v="Acima de 361"/>
    <s v="ACIONAMENTO"/>
    <x v="0"/>
  </r>
  <r>
    <s v="COGECOM"/>
    <n v="88051862"/>
    <s v="MARIA CLARA MAZZO CASARIN DE OLIVEIRA"/>
    <s v="OUT"/>
    <s v="OUTROS"/>
    <n v="6383053906"/>
    <x v="0"/>
    <s v="411.15"/>
    <s v="411.15"/>
    <n v="266"/>
    <s v="NÃO LOCALIZADO"/>
    <s v="TELEFONES SEM ATENDIMENTO"/>
    <n v="8"/>
    <x v="12"/>
    <s v="15.48"/>
    <s v="gleise"/>
    <s v="181 a 360"/>
    <s v="ACIONAMENTO"/>
    <x v="0"/>
  </r>
  <r>
    <s v="COGECOM"/>
    <n v="2348730"/>
    <s v="MATHEUS NUNES"/>
    <s v="OUT"/>
    <s v="OUTROS"/>
    <n v="10532035941"/>
    <x v="0"/>
    <s v="1083.54"/>
    <s v="308.51"/>
    <n v="433"/>
    <s v="AG RESPOSTA 1º CONTATO"/>
    <s v="ENVIADO MSG/E-MAIL 1º CONTATO"/>
    <n v="8"/>
    <x v="12"/>
    <s v="10.09"/>
    <s v="l.quadros"/>
    <s v="Acima de 361"/>
    <s v="ACIONAMENTO"/>
    <x v="4"/>
  </r>
  <r>
    <s v="COGECOM"/>
    <n v="10021974789"/>
    <s v="MRV ENGENHARIA E PARTICIPACOES SA"/>
    <s v="OUT"/>
    <s v="OUTROS"/>
    <n v="8343492001010"/>
    <x v="0"/>
    <s v="8138.35"/>
    <s v="552.52"/>
    <n v="300"/>
    <s v="NÃO LOCALIZADO"/>
    <s v="TELEFONES SEM ATENDIMENTO"/>
    <n v="8"/>
    <x v="12"/>
    <s v="11.48"/>
    <s v="anne"/>
    <s v="181 a 360"/>
    <s v="ACIONAMENTO"/>
    <x v="0"/>
  </r>
  <r>
    <s v="COGECOM"/>
    <n v="3004199398"/>
    <s v="NATALIA FERREIRA DA SILVA"/>
    <s v="OUT"/>
    <s v="OUTROS"/>
    <n v="7269184666"/>
    <x v="0"/>
    <s v="545.56"/>
    <s v="322.54"/>
    <n v="226"/>
    <s v="NÃO LOCALIZADO"/>
    <s v="TELEFONES SEM ATENDIMENTO"/>
    <n v="8"/>
    <x v="12"/>
    <s v="16.01"/>
    <s v="gleise"/>
    <s v="181 a 360"/>
    <s v="ACIONAMENTO"/>
    <x v="0"/>
  </r>
  <r>
    <s v="COGECOM"/>
    <n v="27490280"/>
    <s v="OESTEFARMA COMERCIO DE MEDICAMENTOS"/>
    <s v="OUT"/>
    <s v="OUTROS"/>
    <n v="10938953000159"/>
    <x v="0"/>
    <s v="692.51"/>
    <s v="692.51"/>
    <n v="331"/>
    <s v="NÃO LOCALIZADO"/>
    <s v="TELEFONES SEM ATENDIMENTO"/>
    <n v="8"/>
    <x v="12"/>
    <s v="9.43"/>
    <s v="anakeppe"/>
    <s v="181 a 360"/>
    <s v="ACIONAMENTO"/>
    <x v="0"/>
  </r>
  <r>
    <s v="COGECOM"/>
    <n v="3012745139"/>
    <s v="PALOMA ALVES"/>
    <s v="OUT"/>
    <s v="OUTROS"/>
    <n v="11387973673"/>
    <x v="0"/>
    <s v="1174.37"/>
    <s v="186.61"/>
    <n v="440"/>
    <s v="SEM INTERESSE"/>
    <s v="NEGOCIAÇÃO VIA TELEFONE"/>
    <n v="8"/>
    <x v="12"/>
    <s v="8.36"/>
    <s v="gleise"/>
    <s v="Acima de 361"/>
    <s v="CPC"/>
    <x v="1"/>
  </r>
  <r>
    <s v="COGECOM"/>
    <n v="3080692535"/>
    <s v="RAFAEL DA SILVA FARIAS"/>
    <s v="OUT"/>
    <s v="OUTROS"/>
    <n v="76295478034"/>
    <x v="0"/>
    <s v="2605.82"/>
    <s v="467.77"/>
    <n v="277"/>
    <s v="NÃO LOCALIZADO"/>
    <s v="TELEFONES SEM ATENDIMENTO"/>
    <n v="8"/>
    <x v="12"/>
    <s v="10.48"/>
    <s v="gleise"/>
    <s v="181 a 360"/>
    <s v="ACIONAMENTO"/>
    <x v="0"/>
  </r>
  <r>
    <s v="COGECOM"/>
    <n v="102339465"/>
    <s v="RAFAEL FERREIRA DE SOUZA"/>
    <s v="OUT"/>
    <s v="OUTROS"/>
    <n v="7511538932"/>
    <x v="0"/>
    <s v="1340.50"/>
    <s v="684.37"/>
    <n v="500"/>
    <s v="NÃO LOCALIZADO"/>
    <s v="TELEFONES SEM ATENDIMENTO"/>
    <n v="8"/>
    <x v="12"/>
    <s v="8.52"/>
    <s v="gleise"/>
    <s v="Acima de 361"/>
    <s v="ACIONAMENTO"/>
    <x v="0"/>
  </r>
  <r>
    <s v="COGECOM"/>
    <n v="3095454111"/>
    <s v="RAPHAEL WAECHTER SIMON"/>
    <s v="OUT"/>
    <s v="OUTROS"/>
    <n v="366227025"/>
    <x v="0"/>
    <s v="128.16"/>
    <s v="98.10"/>
    <n v="392"/>
    <s v="NÃO LOCALIZADO"/>
    <s v="TELEFONES SEM ATENDIMENTO"/>
    <n v="8"/>
    <x v="12"/>
    <s v="9.37"/>
    <s v="anakeppe"/>
    <s v="Acima de 361"/>
    <s v="ACIONAMENTO"/>
    <x v="0"/>
  </r>
  <r>
    <s v="COGECOM"/>
    <n v="3003343767"/>
    <s v="RAUL GOMES BARRETO"/>
    <s v="OUT"/>
    <s v="OUTROS"/>
    <n v="63225050687"/>
    <x v="0"/>
    <s v="399.54"/>
    <s v="152.00"/>
    <n v="338"/>
    <s v="NÃO LOCALIZADO"/>
    <s v="TELEFONES SEM ATENDIMENTO"/>
    <n v="8"/>
    <x v="12"/>
    <s v="13.30"/>
    <s v="anne"/>
    <s v="181 a 360"/>
    <s v="ACIONAMENTO"/>
    <x v="0"/>
  </r>
  <r>
    <s v="COGECOM"/>
    <n v="3013991287"/>
    <s v="REINALDO SILVA LIMA FILHO"/>
    <s v="OUT"/>
    <s v="OUTROS"/>
    <n v="9669696690"/>
    <x v="0"/>
    <s v="363.47"/>
    <s v="157.12"/>
    <n v="394"/>
    <s v="NÃO LOCALIZADO"/>
    <s v="TELEFONES SEM ATENDIMENTO"/>
    <n v="8"/>
    <x v="12"/>
    <s v="9.34"/>
    <s v="anakeppe"/>
    <s v="Acima de 361"/>
    <s v="ACIONAMENTO"/>
    <x v="0"/>
  </r>
  <r>
    <s v="COGECOM"/>
    <n v="108049922"/>
    <s v="RENAN RODRIGO DAMASCENO"/>
    <s v="OUT"/>
    <s v="OUTROS"/>
    <n v="7185275938"/>
    <x v="0"/>
    <s v="1205.22"/>
    <s v="231.78"/>
    <n v="375"/>
    <s v="SEM INTERESSE"/>
    <s v="NEGOCIAÇÃO VIA WHATSAPP"/>
    <n v="8"/>
    <x v="12"/>
    <s v="14.22"/>
    <s v="l.quadros"/>
    <s v="Acima de 361"/>
    <s v="CPC"/>
    <x v="1"/>
  </r>
  <r>
    <s v="COGECOM"/>
    <n v="10005832134"/>
    <s v="ROBERTO CARLOS DA SILVA GUIMARAES"/>
    <s v="OUT"/>
    <s v="OUTROS"/>
    <n v="45076570163"/>
    <x v="0"/>
    <s v="223.38"/>
    <s v="36.05"/>
    <n v="167"/>
    <s v="AG RESPOSTA 1º CONTATO"/>
    <s v="ENVIADO MSG/E-MAIL 1º CONTATO"/>
    <n v="8"/>
    <x v="12"/>
    <s v="13.34"/>
    <s v="l.quadros"/>
    <s v="91 a 180"/>
    <s v="ACIONAMENTO"/>
    <x v="4"/>
  </r>
  <r>
    <s v="COGECOM"/>
    <n v="3000529506"/>
    <s v="RODOLPHO TAVARES DE SOUZA LINS"/>
    <s v="OUT"/>
    <s v="OUTROS"/>
    <n v="10180866680"/>
    <x v="0"/>
    <s v="684.79"/>
    <s v="184.24"/>
    <n v="312"/>
    <s v="EM NEGOCIAÇÃO"/>
    <s v="TELEFONES SEM ATENDIMENTO"/>
    <n v="8"/>
    <x v="12"/>
    <s v="16.34"/>
    <s v="anakeppe"/>
    <s v="181 a 360"/>
    <s v="ACIONAMENTO"/>
    <x v="2"/>
  </r>
  <r>
    <s v="COGECOM"/>
    <n v="3080832271"/>
    <s v="RODRIGO MAFIOLLETTI FOSS"/>
    <s v="OUT"/>
    <s v="OUTROS"/>
    <n v="4013496089"/>
    <x v="0"/>
    <s v="596.27"/>
    <s v="230.20"/>
    <n v="249"/>
    <s v="NÃO LOCALIZADO"/>
    <s v="TELEFONES SEM ATENDIMENTO"/>
    <n v="8"/>
    <x v="12"/>
    <s v="11.30"/>
    <s v="gleise"/>
    <s v="181 a 360"/>
    <s v="ACIONAMENTO"/>
    <x v="0"/>
  </r>
  <r>
    <s v="COGECOM"/>
    <n v="97717932"/>
    <s v="ROGERIO BOIKO FABRI"/>
    <s v="OUT"/>
    <s v="OUTROS"/>
    <n v="4406062920"/>
    <x v="0"/>
    <s v="360.42"/>
    <s v="360.42"/>
    <n v="266"/>
    <s v="NÃO LOCALIZADO"/>
    <s v="TELEFONES SEM ATENDIMENTO"/>
    <n v="8"/>
    <x v="12"/>
    <s v="9.48"/>
    <s v="anakeppe"/>
    <s v="181 a 360"/>
    <s v="ACIONAMENTO"/>
    <x v="0"/>
  </r>
  <r>
    <s v="COGECOM"/>
    <n v="20002750"/>
    <s v="ROSIMEIRE DE JESUS SILVA"/>
    <s v="OUT"/>
    <s v="OUTROS"/>
    <n v="61732168172"/>
    <x v="0"/>
    <s v="691.36"/>
    <s v="59.07"/>
    <n v="341"/>
    <s v="NÃO LOCALIZADO"/>
    <s v="TELEFONES SEM ATENDIMENTO"/>
    <n v="8"/>
    <x v="12"/>
    <s v="14.24"/>
    <s v="gleise"/>
    <s v="181 a 360"/>
    <s v="ACIONAMENTO"/>
    <x v="0"/>
  </r>
  <r>
    <s v="COGECOM"/>
    <n v="4002657865"/>
    <s v="SANDRO PACHECO DE ASSIS"/>
    <s v="OUT"/>
    <s v="OUTROS"/>
    <n v="49025449034"/>
    <x v="0"/>
    <s v="254.05"/>
    <s v="175.37"/>
    <n v="392"/>
    <s v="NÃO LOCALIZADO"/>
    <s v="TELEFONES SEM ATENDIMENTO"/>
    <n v="8"/>
    <x v="12"/>
    <s v="11.44"/>
    <s v="gleise"/>
    <s v="Acima de 361"/>
    <s v="ACIONAMENTO"/>
    <x v="0"/>
  </r>
  <r>
    <s v="COGECOM"/>
    <n v="10007934970"/>
    <s v="SILVIA DA ROSA"/>
    <s v="OUT"/>
    <s v="OUTROS"/>
    <n v="894408976"/>
    <x v="0"/>
    <s v="1315.55"/>
    <s v="122.14"/>
    <n v="226"/>
    <s v="NÃO LOCALIZADO"/>
    <s v="TELEFONES SEM ATENDIMENTO"/>
    <n v="8"/>
    <x v="12"/>
    <s v="9.45"/>
    <s v="gleise"/>
    <s v="181 a 360"/>
    <s v="ACIONAMENTO"/>
    <x v="0"/>
  </r>
  <r>
    <s v="COGECOM"/>
    <n v="102003378"/>
    <s v="THAIS ESPINDOLA VIEIRA DA SILVA"/>
    <s v="OUT"/>
    <s v="OUTROS"/>
    <n v="16190065708"/>
    <x v="0"/>
    <s v="755.02"/>
    <s v="136.10"/>
    <n v="520"/>
    <s v="NÃO LOCALIZADO"/>
    <s v="TELEFONES SEM ATENDIMENTO"/>
    <n v="8"/>
    <x v="12"/>
    <s v="16.32"/>
    <s v="l.quadros"/>
    <s v="Acima de 361"/>
    <s v="ACIONAMENTO"/>
    <x v="0"/>
  </r>
  <r>
    <s v="COGECOM"/>
    <n v="10019976591"/>
    <s v="TULIO PERES BARBOSA"/>
    <s v="OUT"/>
    <s v="OUTROS"/>
    <n v="3447429119"/>
    <x v="0"/>
    <s v="1789.81"/>
    <s v="365.73"/>
    <n v="284"/>
    <s v="NÃO LOCALIZADO"/>
    <s v="TELEFONES SEM ATENDIMENTO"/>
    <n v="8"/>
    <x v="12"/>
    <s v="9.07"/>
    <s v="gleise"/>
    <s v="181 a 360"/>
    <s v="ACIONAMENTO"/>
    <x v="0"/>
  </r>
  <r>
    <s v="COGECOM"/>
    <n v="7219890"/>
    <s v="ANA MARIA GARCIA"/>
    <s v="OUT"/>
    <s v="OUTROS"/>
    <n v="6309906976"/>
    <x v="0"/>
    <s v="3044.97"/>
    <s v="2251.35"/>
    <n v="467"/>
    <s v="NÃO LOCALIZADO"/>
    <s v="TELEFONES SEM ATENDIMENTO"/>
    <n v="8"/>
    <x v="12"/>
    <s v="10.24"/>
    <s v="gleise"/>
    <s v="Acima de 361"/>
    <s v="ACIONAMENTO"/>
    <x v="0"/>
  </r>
  <r>
    <s v="COGECOM"/>
    <n v="79754171"/>
    <s v="VITORIA REGINA DA SILVA FERREIRA"/>
    <s v="OUT"/>
    <s v="OUTROS"/>
    <n v="12533567930"/>
    <x v="0"/>
    <s v="954.61"/>
    <s v="954.61"/>
    <n v="242"/>
    <s v="NÃO LOCALIZADO"/>
    <s v="TELEFONES SEM ATENDIMENTO"/>
    <n v="8"/>
    <x v="12"/>
    <s v="9.15"/>
    <s v="gleise"/>
    <s v="181 a 360"/>
    <s v="ACIONAMENTO"/>
    <x v="0"/>
  </r>
  <r>
    <s v="COGECOM"/>
    <n v="82793573"/>
    <s v="ARDINAL TEIXEIRA ERVILHA"/>
    <s v="OUT"/>
    <s v="OUTROS"/>
    <n v="15561967843"/>
    <x v="0"/>
    <s v="2288.07"/>
    <s v="473.52"/>
    <n v="202"/>
    <s v="NÃO LOCALIZADO"/>
    <s v="TELEFONES SEM ATENDIMENTO"/>
    <n v="8"/>
    <x v="12"/>
    <s v="9.17"/>
    <s v="gleise"/>
    <s v="181 a 360"/>
    <s v="ACIONAMENTO"/>
    <x v="0"/>
  </r>
  <r>
    <s v="COGECOM"/>
    <n v="79866506"/>
    <s v="CARLOS DAL COL"/>
    <s v="OUT"/>
    <s v="OUTROS"/>
    <n v="962295949"/>
    <x v="0"/>
    <s v="412.73"/>
    <s v="412.73"/>
    <n v="177"/>
    <s v="NÃO LOCALIZADO"/>
    <s v="TELEFONES SEM ATENDIMENTO"/>
    <n v="8"/>
    <x v="12"/>
    <s v="10.52"/>
    <s v="gleise"/>
    <s v="91 a 180"/>
    <s v="ACIONAMENTO"/>
    <x v="0"/>
  </r>
  <r>
    <s v="COGECOM"/>
    <n v="10035657454"/>
    <s v="JOAO PAULO ANTONIO SOARES BENEDET"/>
    <s v="OUT"/>
    <s v="OUTROS"/>
    <n v="2040521143"/>
    <x v="0"/>
    <s v="4344.73"/>
    <s v="369.17"/>
    <n v="173"/>
    <s v="NÃO LOCALIZADO"/>
    <s v="TELEFONES SEM ATENDIMENTO"/>
    <n v="8"/>
    <x v="12"/>
    <s v="9.40"/>
    <s v="anakeppe"/>
    <s v="91 a 180"/>
    <s v="ACIONAMENTO"/>
    <x v="0"/>
  </r>
  <r>
    <s v="COGECOM"/>
    <n v="1026224"/>
    <s v="ERALDO CESAR RAMOS"/>
    <s v="OUT"/>
    <s v="OUTROS"/>
    <n v="59576375991"/>
    <x v="0"/>
    <s v="554.31"/>
    <s v="303.40"/>
    <n v="186"/>
    <s v="NÃO LOCALIZADO"/>
    <s v="TELEFONES SEM ATENDIMENTO"/>
    <n v="8"/>
    <x v="12"/>
    <s v="11.10"/>
    <s v="gleise"/>
    <s v="181 a 360"/>
    <s v="ACIONAMENTO"/>
    <x v="0"/>
  </r>
  <r>
    <s v="COGECOM"/>
    <n v="20555482"/>
    <s v="SONIA ROSSI MUSSI"/>
    <s v="OUT"/>
    <s v="OUTROS"/>
    <n v="28156102991"/>
    <x v="0"/>
    <s v="622.98"/>
    <s v="269.80"/>
    <n v="228"/>
    <s v="EM NEGOCIAÇÃO"/>
    <s v="GERAÇÃO DE ACORDO"/>
    <n v="8"/>
    <x v="12"/>
    <s v="16.32"/>
    <s v="anne"/>
    <s v="181 a 360"/>
    <s v="CPC"/>
    <x v="2"/>
  </r>
  <r>
    <s v="COGECOM"/>
    <n v="3085554562"/>
    <s v="ANA ELISA PIRES DE MELLO"/>
    <s v="OUT"/>
    <s v="OUTROS"/>
    <n v="81013078004"/>
    <x v="0"/>
    <s v="497.86"/>
    <s v="259.65"/>
    <n v="185"/>
    <s v="SEM INTERESSE"/>
    <s v="NEGOCIAÇÃO VIA TELEFONE"/>
    <n v="8"/>
    <x v="12"/>
    <s v="14.42"/>
    <s v="anne"/>
    <s v="181 a 360"/>
    <s v="CPC"/>
    <x v="1"/>
  </r>
  <r>
    <s v="COGECOM"/>
    <n v="3010645069"/>
    <s v="CANDICE FERNANDA DE SOUZA SANTOS"/>
    <s v="OUT"/>
    <s v="OUTROS"/>
    <n v="9470408624"/>
    <x v="0"/>
    <s v="255.35"/>
    <s v="105.17"/>
    <n v="177"/>
    <s v="NÃO LOCALIZADO"/>
    <s v="TELEFONES SEM ATENDIMENTO"/>
    <n v="8"/>
    <x v="12"/>
    <s v="9.49"/>
    <s v="gleise"/>
    <s v="91 a 180"/>
    <s v="ACIONAMENTO"/>
    <x v="0"/>
  </r>
  <r>
    <s v="COGECOM"/>
    <n v="3003825525"/>
    <s v="ROSANGELA RODRIGUES DIAS"/>
    <s v="OUT"/>
    <s v="OUTROS"/>
    <n v="80042783615"/>
    <x v="0"/>
    <s v="352.27"/>
    <s v="61.36"/>
    <n v="177"/>
    <s v="NÃO LOCALIZADO"/>
    <s v="TELEFONES SEM ATENDIMENTO"/>
    <n v="8"/>
    <x v="12"/>
    <s v="9.10"/>
    <s v="anakeppe"/>
    <s v="91 a 180"/>
    <s v="ACIONAMENTO"/>
    <x v="0"/>
  </r>
  <r>
    <s v="COGECOM"/>
    <n v="3012926619"/>
    <s v="NUBIA ROBERTA OLIVEIRA GREGORIO"/>
    <s v="OUT"/>
    <s v="OUTROS"/>
    <n v="11019947624"/>
    <x v="0"/>
    <s v="235.88"/>
    <s v="18.34"/>
    <n v="177"/>
    <s v="NÃO LOCALIZADO"/>
    <s v="TELEFONES SEM ATENDIMENTO"/>
    <n v="8"/>
    <x v="12"/>
    <s v="14.50"/>
    <s v="gleise"/>
    <s v="91 a 180"/>
    <s v="ACIONAMENTO"/>
    <x v="0"/>
  </r>
  <r>
    <s v="COGECOM"/>
    <n v="1390048321"/>
    <s v="MAUDER ANANIAS REZENDE SOUSA"/>
    <s v="OUT"/>
    <s v="OUTROS"/>
    <n v="58808299104"/>
    <x v="0"/>
    <s v="852.50"/>
    <s v="97.72"/>
    <n v="174"/>
    <s v="NÃO LOCALIZADO"/>
    <s v="TELEFONES SEM ATENDIMENTO"/>
    <n v="8"/>
    <x v="12"/>
    <s v="9.38"/>
    <s v="anakeppe"/>
    <s v="91 a 180"/>
    <s v="ACIONAMENTO"/>
    <x v="0"/>
  </r>
  <r>
    <s v="COGECOM"/>
    <n v="10016247424"/>
    <s v="DANILO MATIAS OLIVEIRA"/>
    <s v="OUT"/>
    <s v="OUTROS"/>
    <n v="1934894141"/>
    <x v="0"/>
    <s v="74.02"/>
    <s v="103.12"/>
    <n v="141"/>
    <s v="NÃO LOCALIZADO"/>
    <s v="TELEFONES SEM ATENDIMENTO"/>
    <n v="8"/>
    <x v="12"/>
    <s v="14.22"/>
    <s v="gleise"/>
    <s v="91 a 180"/>
    <s v="ACIONAMENTO"/>
    <x v="0"/>
  </r>
  <r>
    <s v="COGECOM"/>
    <n v="10012398274"/>
    <s v="ELECXANDER RIBEIRO GUIMARAES"/>
    <s v="OUT"/>
    <s v="OUTROS"/>
    <n v="2484611170"/>
    <x v="0"/>
    <s v="261.74"/>
    <s v="144.76"/>
    <n v="170"/>
    <s v="NÃO LOCALIZADO"/>
    <s v="TELEFONES SEM ATENDIMENTO"/>
    <n v="8"/>
    <x v="12"/>
    <s v="9.42"/>
    <s v="gleise"/>
    <s v="91 a 180"/>
    <s v="ACIONAMENTO"/>
    <x v="0"/>
  </r>
  <r>
    <s v="COGECOM"/>
    <n v="27444580"/>
    <s v="PATRICIA ALECSSANDRA MORESCHI PACHECO"/>
    <s v="OUT"/>
    <s v="OUTROS"/>
    <n v="2500661903"/>
    <x v="0"/>
    <s v="351.84"/>
    <s v="182.90"/>
    <n v="164"/>
    <s v="AG RESPOSTA 1º CONTATO"/>
    <s v="ENVIADO MSG/E-MAIL 1º CONTATO"/>
    <n v="8"/>
    <x v="12"/>
    <s v="13.52"/>
    <s v="l.quadros"/>
    <s v="91 a 180"/>
    <s v="ACIONAMENTO"/>
    <x v="4"/>
  </r>
  <r>
    <s v="COGECOM"/>
    <n v="6229212"/>
    <s v="ERNANI PILAGALLO FARACO"/>
    <s v="OUT"/>
    <s v="OUTROS"/>
    <n v="198633904"/>
    <x v="0"/>
    <s v="2729.33"/>
    <s v="460.87"/>
    <n v="477"/>
    <s v="NÃO LOCALIZADO"/>
    <s v="TELEFONES SEM ATENDIMENTO"/>
    <n v="8"/>
    <x v="12"/>
    <s v="15.43"/>
    <s v="gleise"/>
    <s v="Acima de 361"/>
    <s v="ACIONAMENTO"/>
    <x v="0"/>
  </r>
  <r>
    <s v="COGECOM"/>
    <n v="47157119"/>
    <s v="VALDECI APARECIDO MORAIS"/>
    <s v="OUT"/>
    <s v="OUTROS"/>
    <n v="50913280925"/>
    <x v="1"/>
    <s v="1177.65"/>
    <s v="353.67"/>
    <n v="153"/>
    <s v="NÃO LOCALIZADO"/>
    <s v="TELEFONES SEM ATENDIMENTO"/>
    <n v="8"/>
    <x v="12"/>
    <s v="9.48"/>
    <s v="anakeppe"/>
    <s v="91 a 180"/>
    <s v="ACIONAMENTO"/>
    <x v="0"/>
  </r>
  <r>
    <s v="COGECOM"/>
    <n v="39913414"/>
    <s v="VANDERLEI ANTÔNIO DE LIMA"/>
    <s v="OUT"/>
    <s v="OUTROS"/>
    <n v="71907351949"/>
    <x v="0"/>
    <s v="494.64"/>
    <s v="193.85"/>
    <n v="157"/>
    <s v="NÃO LOCALIZADO"/>
    <s v="TELEFONES SEM ATENDIMENTO"/>
    <n v="8"/>
    <x v="12"/>
    <s v="11.37"/>
    <s v="gleise"/>
    <s v="91 a 180"/>
    <s v="ACIONAMENTO"/>
    <x v="0"/>
  </r>
  <r>
    <s v="COGECOM"/>
    <n v="34280464"/>
    <s v="DAMARIS JAVORSKI KAUFFMANN"/>
    <s v="OUT"/>
    <s v="OUTROS"/>
    <n v="2630992969"/>
    <x v="0"/>
    <s v="306.51"/>
    <s v="102.98"/>
    <n v="489"/>
    <s v="NÃO LOCALIZADO"/>
    <s v="TELEFONES SEM ATENDIMENTO"/>
    <n v="8"/>
    <x v="12"/>
    <s v="13.19"/>
    <s v="gleise"/>
    <s v="Acima de 361"/>
    <s v="ACIONAMENTO"/>
    <x v="0"/>
  </r>
  <r>
    <s v="COGECOM"/>
    <n v="3011515705"/>
    <s v="CASSIA PATRICIA FERREIRA ROSA"/>
    <s v="OUT"/>
    <s v="OUTROS"/>
    <n v="8761873608"/>
    <x v="0"/>
    <s v="242.04"/>
    <s v="79.31"/>
    <n v="153"/>
    <s v="NÃO LOCALIZADO"/>
    <s v="TELEFONES SEM ATENDIMENTO"/>
    <n v="8"/>
    <x v="12"/>
    <s v="13.22"/>
    <s v="gleise"/>
    <s v="91 a 180"/>
    <s v="ACIONAMENTO"/>
    <x v="0"/>
  </r>
  <r>
    <s v="COGECOM"/>
    <n v="3013571845"/>
    <s v="GEISON FABIANO DE OLIVEIRA"/>
    <s v="OUT"/>
    <s v="OUTROS"/>
    <n v="1285798627"/>
    <x v="0"/>
    <s v="428.42"/>
    <s v="54.87"/>
    <n v="153"/>
    <s v="NÃO LOCALIZADO"/>
    <s v="TELEFONES SEM ATENDIMENTO"/>
    <n v="8"/>
    <x v="12"/>
    <s v="10.00"/>
    <s v="gleise"/>
    <s v="91 a 180"/>
    <s v="ACIONAMENTO"/>
    <x v="0"/>
  </r>
  <r>
    <s v="COGECOM"/>
    <n v="44005067"/>
    <s v="SUYUZ RUBES KIERSKI ALVES"/>
    <s v="OUT"/>
    <s v="OUTROS"/>
    <n v="92143946953"/>
    <x v="0"/>
    <s v="14294.95"/>
    <s v="5470.13"/>
    <n v="119"/>
    <s v="NÃO LOCALIZADO"/>
    <s v="TELEFONES SEM ATENDIMENTO"/>
    <n v="8"/>
    <x v="12"/>
    <s v="17.08"/>
    <s v="gleise"/>
    <s v="91 a 180"/>
    <s v="ACIONAMENTO"/>
    <x v="0"/>
  </r>
  <r>
    <s v="COGECOM"/>
    <n v="38618559"/>
    <s v="ADAIR SOUZA DA  SILVA"/>
    <s v="OUT"/>
    <s v="OUTROS"/>
    <n v="53057040900"/>
    <x v="0"/>
    <s v="647.99"/>
    <s v="364.78"/>
    <n v="130"/>
    <s v="NÃO LOCALIZADO"/>
    <s v="TELEFONES SEM ATENDIMENTO"/>
    <n v="8"/>
    <x v="12"/>
    <s v="10.59"/>
    <s v="gleise"/>
    <s v="91 a 180"/>
    <s v="ACIONAMENTO"/>
    <x v="0"/>
  </r>
  <r>
    <s v="COGECOM"/>
    <n v="41644050"/>
    <s v="MICHEL SANTON"/>
    <s v="OUT"/>
    <s v="OUTROS"/>
    <n v="13953285874"/>
    <x v="0"/>
    <s v="1491.19"/>
    <s v="320.94"/>
    <n v="143"/>
    <s v="NÃO LOCALIZADO"/>
    <s v="TELEFONES SEM ATENDIMENTO"/>
    <n v="8"/>
    <x v="12"/>
    <s v="11.08"/>
    <s v="gleise"/>
    <s v="91 a 180"/>
    <s v="ACIONAMENTO"/>
    <x v="0"/>
  </r>
  <r>
    <s v="COGECOM"/>
    <n v="9507302"/>
    <s v="WILLYAN DOUGLAS DO AMARAL"/>
    <s v="OUT"/>
    <s v="OUTROS"/>
    <n v="699702976"/>
    <x v="0"/>
    <s v="1413.14"/>
    <s v="319.98"/>
    <n v="156"/>
    <s v="NÃO LOCALIZADO"/>
    <s v="TELEFONES SEM ATENDIMENTO"/>
    <n v="8"/>
    <x v="12"/>
    <s v="9.50"/>
    <s v="anakeppe"/>
    <s v="91 a 180"/>
    <s v="ACIONAMENTO"/>
    <x v="0"/>
  </r>
  <r>
    <s v="COGECOM"/>
    <n v="109324480"/>
    <s v="MARIA ISABELA FERREIRA EUZEBIO"/>
    <s v="OUT"/>
    <s v="OUTROS"/>
    <n v="11742957919"/>
    <x v="0"/>
    <s v="697.60"/>
    <s v="232.47"/>
    <n v="125"/>
    <s v="NÃO LOCALIZADO"/>
    <s v="TELEFONES SEM ATENDIMENTO"/>
    <n v="8"/>
    <x v="12"/>
    <s v="15.52"/>
    <s v="anne"/>
    <s v="91 a 180"/>
    <s v="ACIONAMENTO"/>
    <x v="0"/>
  </r>
  <r>
    <s v="COGECOM"/>
    <n v="220070180"/>
    <s v="RITA CRISTINA ALMEIDA GUERRA"/>
    <s v="OUT"/>
    <s v="OUTROS"/>
    <n v="79745989134"/>
    <x v="0"/>
    <s v="31.06"/>
    <s v="169.85"/>
    <n v="133"/>
    <s v="NÃO LOCALIZADO"/>
    <s v="TELEFONES SEM ATENDIMENTO"/>
    <n v="8"/>
    <x v="12"/>
    <s v="14.47"/>
    <s v="gleise"/>
    <s v="91 a 180"/>
    <s v="ACIONAMENTO"/>
    <x v="0"/>
  </r>
  <r>
    <s v="COGECOM"/>
    <n v="10036009731"/>
    <s v="JHOSY GUNDIM SILVA"/>
    <s v="OUT"/>
    <s v="OUTROS"/>
    <n v="92314678168"/>
    <x v="0"/>
    <s v="328.39"/>
    <s v="101.49"/>
    <n v="141"/>
    <s v="SEM INTERESSE"/>
    <s v="NEGOCIAÇÃO VIA TELEFONE"/>
    <n v="8"/>
    <x v="12"/>
    <s v="9.19"/>
    <s v="l.quadros"/>
    <s v="91 a 180"/>
    <s v="CPC"/>
    <x v="1"/>
  </r>
  <r>
    <s v="COGECOM"/>
    <n v="3005670863"/>
    <s v="JOAQUIM ANTONIO SANTIAGO"/>
    <s v="OUT"/>
    <s v="OUTROS"/>
    <n v="1022931806"/>
    <x v="0"/>
    <s v="167.52"/>
    <s v="70.50"/>
    <n v="116"/>
    <s v="NÃO LOCALIZADO"/>
    <s v="TELEFONES SEM ATENDIMENTO"/>
    <n v="8"/>
    <x v="12"/>
    <s v="10.41"/>
    <s v="anne"/>
    <s v="91 a 180"/>
    <s v="ACIONAMENTO"/>
    <x v="0"/>
  </r>
  <r>
    <s v="COGECOM"/>
    <n v="11218526"/>
    <s v="LINDOMAR JOSE DOS SANTOS"/>
    <s v="OUT"/>
    <s v="OUTROS"/>
    <n v="46978348104"/>
    <x v="0"/>
    <s v="225.36"/>
    <s v="118.30"/>
    <n v="96"/>
    <s v="NÃO LOCALIZADO"/>
    <s v="TELEFONES SEM ATENDIMENTO"/>
    <n v="8"/>
    <x v="12"/>
    <s v="9.36"/>
    <s v="anakeppe"/>
    <s v="91 a 180"/>
    <s v="ACIONAMENTO"/>
    <x v="0"/>
  </r>
  <r>
    <s v="COGECOM"/>
    <n v="4003113060"/>
    <s v="MARCIO GOLDSCHMIDT"/>
    <s v="OUT"/>
    <s v="OUTROS"/>
    <n v="83507760053"/>
    <x v="0"/>
    <s v="279.74"/>
    <s v="279.74"/>
    <n v="85"/>
    <s v="EM NEGOCIAÇÃO"/>
    <s v="TELEFONES SEM ATENDIMENTO"/>
    <n v="8"/>
    <x v="12"/>
    <s v="14.40"/>
    <s v="anakeppe"/>
    <s v="61 a 90"/>
    <s v="ACIONAMENTO"/>
    <x v="2"/>
  </r>
  <r>
    <s v="COGECOM"/>
    <n v="3090874762"/>
    <s v="EDUARDO RODRIGUES MAIA"/>
    <s v="OUT"/>
    <s v="OUTROS"/>
    <n v="1547382040"/>
    <x v="0"/>
    <s v="178.68"/>
    <s v="178.68"/>
    <n v="85"/>
    <s v="NÃO LOCALIZADO"/>
    <s v="TELEFONES SEM ATENDIMENTO"/>
    <n v="8"/>
    <x v="12"/>
    <s v="11.40"/>
    <s v="gleise"/>
    <s v="61 a 90"/>
    <s v="ACIONAMENTO"/>
    <x v="0"/>
  </r>
  <r>
    <s v="COGECOM"/>
    <n v="3090882214"/>
    <s v="LAURENO LUIZ MUELLER"/>
    <s v="OUT"/>
    <s v="OUTROS"/>
    <n v="60467690006"/>
    <x v="0"/>
    <s v="805.08"/>
    <s v="805.08"/>
    <n v="85"/>
    <s v="SEM INTERESSE"/>
    <s v="NEGOCIAÇÃO VIA TELEFONE"/>
    <n v="8"/>
    <x v="12"/>
    <s v="10.28"/>
    <s v="gleise"/>
    <s v="61 a 90"/>
    <s v="CPC"/>
    <x v="1"/>
  </r>
  <r>
    <s v="COGECOM"/>
    <n v="3007602303"/>
    <s v="EURÍPEDES ANTONIO DAMACENO JUNIOR"/>
    <s v="OUT"/>
    <s v="OUTROS"/>
    <n v="6640415666"/>
    <x v="0"/>
    <s v="216.46"/>
    <s v="278.97"/>
    <n v="96"/>
    <s v="NÃO LOCALIZADO"/>
    <s v="TELEFONES SEM ATENDIMENTO"/>
    <n v="8"/>
    <x v="12"/>
    <s v="9.28"/>
    <s v="anakeppe"/>
    <s v="91 a 180"/>
    <s v="ACIONAMENTO"/>
    <x v="0"/>
  </r>
  <r>
    <s v="COGECOM"/>
    <n v="3005468086"/>
    <s v="ROBERTO SIMOES DE ALMEIDA JUNIOR"/>
    <s v="OUT"/>
    <s v="OUTROS"/>
    <n v="5501489732"/>
    <x v="0"/>
    <s v="3214.76"/>
    <s v="1627.75"/>
    <n v="147"/>
    <s v="NÃO LOCALIZADO"/>
    <s v="TELEFONES SEM ATENDIMENTO"/>
    <n v="8"/>
    <x v="12"/>
    <s v="15.17"/>
    <s v="gleise"/>
    <s v="91 a 180"/>
    <s v="ACIONAMENTO"/>
    <x v="0"/>
  </r>
  <r>
    <s v="COGECOM"/>
    <n v="89080483"/>
    <s v="FLAVIANA REGINA SALES DOS SANTOS RODRIGUES"/>
    <s v="OUT"/>
    <s v="OUTROS"/>
    <n v="5078102957"/>
    <x v="0"/>
    <s v="357.44"/>
    <s v="55.21"/>
    <n v="71"/>
    <s v="NÃO LOCALIZADO"/>
    <s v="TELEFONES SEM ATENDIMENTO"/>
    <n v="8"/>
    <x v="12"/>
    <s v="10.35"/>
    <s v="anakeppe"/>
    <s v="61 a 90"/>
    <s v="ACIONAMENTO"/>
    <x v="0"/>
  </r>
  <r>
    <s v="COGECOM"/>
    <n v="3002267997"/>
    <s v="IVO DOS REIS DA SILVA"/>
    <s v="OUT"/>
    <s v="OUTROS"/>
    <n v="36080047691"/>
    <x v="0"/>
    <s v="102.07"/>
    <s v="84.15"/>
    <n v="65"/>
    <s v="NÃO LOCALIZADO"/>
    <s v="TELEFONES SEM ATENDIMENTO"/>
    <n v="8"/>
    <x v="12"/>
    <s v="14.05"/>
    <s v="anne"/>
    <s v="61 a 90"/>
    <s v="ACIONAMENTO"/>
    <x v="0"/>
  </r>
  <r>
    <s v="COGECOM"/>
    <n v="55369216"/>
    <s v="ROBERTO SILVA NOGUEIRA"/>
    <s v="OUT"/>
    <s v="OUTROS"/>
    <n v="52045013987"/>
    <x v="0"/>
    <s v="71.69"/>
    <s v="25.37"/>
    <n v="73"/>
    <s v="NÃO LOCALIZADO"/>
    <s v="TELEFONES SEM ATENDIMENTO"/>
    <n v="8"/>
    <x v="12"/>
    <s v="14.10"/>
    <s v="anne"/>
    <s v="61 a 90"/>
    <s v="ACIONAMENTO"/>
    <x v="0"/>
  </r>
  <r>
    <s v="COGECOM"/>
    <n v="6400256"/>
    <s v="ZAHIA OMAR EL ASSAL"/>
    <s v="OUT"/>
    <s v="OUTROS"/>
    <n v="53701046972"/>
    <x v="0"/>
    <s v="1393.99"/>
    <s v="1423.52"/>
    <n v="69"/>
    <s v="EM NEGOCIAÇÃO"/>
    <s v="TELEFONES SEM ATENDIMENTO"/>
    <n v="8"/>
    <x v="12"/>
    <s v="14.38"/>
    <s v="anakeppe"/>
    <s v="61 a 90"/>
    <s v="ACIONAMENTO"/>
    <x v="2"/>
  </r>
  <r>
    <s v="COGECOM"/>
    <n v="42416720"/>
    <s v="ANTONIO YAHN DIEDERICHSEN"/>
    <s v="OUT"/>
    <s v="OUTROS"/>
    <n v="797572945"/>
    <x v="0"/>
    <s v="122.43"/>
    <s v="122.43"/>
    <n v="62"/>
    <m/>
    <s v="SOLICITAR EXTINÇÃO DA AÇÃO"/>
    <n v="9999"/>
    <x v="12"/>
    <s v="13.50"/>
    <s v="anakeppe"/>
    <s v="61 a 90"/>
    <s v="ACIONAMENTO"/>
    <x v="4"/>
  </r>
  <r>
    <s v="COGECOM"/>
    <n v="3011655264"/>
    <s v="CAIO MOREIRA DOS SANTOS"/>
    <s v="OUT"/>
    <s v="OUTROS"/>
    <n v="9280446614"/>
    <x v="0"/>
    <s v="122.35"/>
    <s v="122.35"/>
    <n v="58"/>
    <s v="EM NEGOCIAÇÃO"/>
    <s v="NEGOCIAÇÃO VIA TELEFONE"/>
    <n v="8"/>
    <x v="12"/>
    <s v="14.22"/>
    <s v="anne"/>
    <s v="31 a 60"/>
    <s v="CPC"/>
    <x v="2"/>
  </r>
  <r>
    <s v="COGECOM"/>
    <n v="59996226"/>
    <s v="MARCELO DE LARA"/>
    <s v="OUT"/>
    <s v="OUTROS"/>
    <n v="3157309943"/>
    <x v="0"/>
    <s v="265.91"/>
    <s v="265.91"/>
    <n v="55"/>
    <s v="EM NEGOCIAÇÃO"/>
    <s v="NEGOCIAÇÃO VIA WHATSAPP"/>
    <n v="8"/>
    <x v="12"/>
    <s v="9.46"/>
    <s v="anne"/>
    <s v="31 a 60"/>
    <s v="CPC"/>
    <x v="2"/>
  </r>
  <r>
    <s v="COGECOM"/>
    <n v="77101669"/>
    <s v="ALLISON RAMIREZ"/>
    <s v="OUT"/>
    <s v="OUTROS"/>
    <n v="7193783971"/>
    <x v="0"/>
    <s v="155.37"/>
    <s v="155.37"/>
    <n v="43"/>
    <s v="NÃO LOCALIZADO"/>
    <s v="TELEFONES SEM ATENDIMENTO"/>
    <n v="8"/>
    <x v="12"/>
    <s v="14.00"/>
    <s v="gleise"/>
    <s v="31 a 60"/>
    <s v="ACIONAMENTO"/>
    <x v="0"/>
  </r>
  <r>
    <s v="COGECOM"/>
    <n v="18808891"/>
    <s v="MAURI ROMERA DE MELLO"/>
    <s v="OUT"/>
    <s v="OUTROS"/>
    <n v="24966519888"/>
    <x v="0"/>
    <s v="1087.87"/>
    <s v="1087.87"/>
    <n v="53"/>
    <s v="EM NEGOCIAÇÃO"/>
    <s v="NEGOCIAÇÃO VIA WHATSAPP"/>
    <n v="8"/>
    <x v="12"/>
    <s v="12.01"/>
    <s v="anne"/>
    <s v="31 a 60"/>
    <s v="CPC"/>
    <x v="2"/>
  </r>
  <r>
    <s v="COGECOM"/>
    <n v="2198410"/>
    <s v="MARIA CAROLINA SPILER MARINO"/>
    <s v="OUT"/>
    <s v="OUTROS"/>
    <n v="85907197900"/>
    <x v="1"/>
    <s v="2590.97"/>
    <s v="2353.15"/>
    <n v="41"/>
    <s v="ACORDO VIGENTE COLCHÃO EM DIA"/>
    <s v="NEGOCIAÇÃO VIA TELEFONE"/>
    <n v="8"/>
    <x v="12"/>
    <s v="10.58"/>
    <s v="anakeppe"/>
    <s v="31 a 60"/>
    <s v="CPC"/>
    <x v="2"/>
  </r>
  <r>
    <s v="COGECOM"/>
    <n v="21119077"/>
    <s v="MRV ENGENHARIA E PARTICIPACOES SA"/>
    <s v="OUT"/>
    <s v="OUTROS"/>
    <n v="8343492001010"/>
    <x v="0"/>
    <s v="1749.89"/>
    <s v="123.06"/>
    <n v="307"/>
    <s v="NÃO LOCALIZADO"/>
    <s v="TELEFONES SEM ATENDIMENTO"/>
    <n v="15"/>
    <x v="12"/>
    <s v="11.49"/>
    <s v="anne"/>
    <s v="181 a 360"/>
    <s v="ACIONAMENTO"/>
    <x v="0"/>
  </r>
  <r>
    <s v="COGECOM"/>
    <n v="10020560166"/>
    <s v="MRV ENGENHARIA E PARTICIPACOES SA"/>
    <s v="OUT"/>
    <s v="OUTROS"/>
    <n v="8343492001010"/>
    <x v="0"/>
    <s v="693.82"/>
    <s v="50.69"/>
    <n v="307"/>
    <s v="NÃO LOCALIZADO"/>
    <s v="TELEFONES SEM ATENDIMENTO"/>
    <n v="15"/>
    <x v="12"/>
    <s v="11.49"/>
    <s v="anne"/>
    <s v="181 a 360"/>
    <s v="ACIONAMENTO"/>
    <x v="0"/>
  </r>
  <r>
    <s v="COGECOM"/>
    <n v="3001607235"/>
    <s v="ADEMILDES DE FARIA"/>
    <s v="OUT"/>
    <s v="OUTROS"/>
    <n v="8089264620"/>
    <x v="0"/>
    <s v="433.56"/>
    <s v="112.72"/>
    <n v="223"/>
    <s v="SEM INTERESSE"/>
    <s v="NEGOCIAÇÃO VIA TELEFONE"/>
    <n v="9"/>
    <x v="13"/>
    <s v="11.06"/>
    <s v="anakeppe"/>
    <s v="181 a 360"/>
    <s v="CPC"/>
    <x v="1"/>
  </r>
  <r>
    <s v="COGECOM"/>
    <n v="98136810"/>
    <s v="ADRIANA CAREN KAUFFMAN LEITE"/>
    <s v="OUT"/>
    <s v="OUTROS"/>
    <n v="7131805955"/>
    <x v="0"/>
    <s v="325.68"/>
    <s v="155.14"/>
    <n v="462"/>
    <s v="NÃO LOCALIZADO"/>
    <s v="TELEFONES SEM ATENDIMENTO"/>
    <n v="9"/>
    <x v="13"/>
    <s v="11.08"/>
    <s v="anne"/>
    <s v="Acima de 361"/>
    <s v="ACIONAMENTO"/>
    <x v="0"/>
  </r>
  <r>
    <s v="COGECOM"/>
    <n v="40452524"/>
    <s v="ANDERSON ROBERTO TEIXEIRA"/>
    <s v="OUT"/>
    <s v="OUTROS"/>
    <n v="4143246929"/>
    <x v="0"/>
    <s v="1550.80"/>
    <s v="360.90"/>
    <n v="270"/>
    <s v="SEM CONDIÇÕES"/>
    <s v="NEGOCIAÇÃO VIA TELEFONE"/>
    <n v="9"/>
    <x v="13"/>
    <s v="10.17"/>
    <s v="anakeppe"/>
    <s v="181 a 360"/>
    <s v="CPC"/>
    <x v="3"/>
  </r>
  <r>
    <s v="COGECOM"/>
    <n v="13093356"/>
    <s v="ANDRE ELIAS BRITO MELO"/>
    <s v="OUT"/>
    <s v="OUTROS"/>
    <n v="29706408215"/>
    <x v="0"/>
    <s v="2105.37"/>
    <s v="382.07"/>
    <n v="352"/>
    <s v="NÃO LOCALIZADO"/>
    <s v="TELEFONES SEM ATENDIMENTO"/>
    <n v="9"/>
    <x v="13"/>
    <s v="16.28"/>
    <s v="gleise"/>
    <s v="181 a 360"/>
    <s v="ACIONAMENTO"/>
    <x v="0"/>
  </r>
  <r>
    <s v="COGECOM"/>
    <n v="68557337"/>
    <s v="ANDRIWS TODESCHINI PRESTES"/>
    <s v="OUT"/>
    <s v="OUTROS"/>
    <n v="4699219942"/>
    <x v="0"/>
    <s v="1124.78"/>
    <s v="237.70"/>
    <n v="434"/>
    <s v="NÃO LOCALIZADO"/>
    <s v="TELEFONES SEM ATENDIMENTO"/>
    <n v="9"/>
    <x v="13"/>
    <s v="10.36"/>
    <s v="anakeppe"/>
    <s v="Acima de 361"/>
    <s v="ACIONAMENTO"/>
    <x v="0"/>
  </r>
  <r>
    <s v="COGECOM"/>
    <n v="108225003"/>
    <s v="ANSELMO PEREIRA DOS SANTOS"/>
    <s v="OUT"/>
    <s v="OUTROS"/>
    <n v="4964994910"/>
    <x v="0"/>
    <s v="705.93"/>
    <s v="132.33"/>
    <n v="415"/>
    <s v="NÃO LOCALIZADO"/>
    <s v="TELEFONES SEM ATENDIMENTO"/>
    <n v="9"/>
    <x v="13"/>
    <s v="13.44"/>
    <s v="gleise"/>
    <s v="Acima de 361"/>
    <s v="ACIONAMENTO"/>
    <x v="0"/>
  </r>
  <r>
    <s v="COGECOM"/>
    <n v="42528402"/>
    <s v="ARNALDO NUNES"/>
    <s v="OUT"/>
    <s v="OUTROS"/>
    <n v="88584771972"/>
    <x v="0"/>
    <s v="175.53"/>
    <s v="175.53"/>
    <n v="405"/>
    <s v="NÃO LOCALIZADO"/>
    <s v="TELEFONES SEM ATENDIMENTO"/>
    <n v="9"/>
    <x v="13"/>
    <s v="10.48"/>
    <s v="anakeppe"/>
    <s v="Acima de 361"/>
    <s v="ACIONAMENTO"/>
    <x v="0"/>
  </r>
  <r>
    <s v="COGECOM"/>
    <n v="3012151094"/>
    <s v="CLAUDIO DINIZ ALVES"/>
    <s v="OUT"/>
    <s v="OUTROS"/>
    <n v="70954208668"/>
    <x v="0"/>
    <s v="740.50"/>
    <s v="205.35"/>
    <n v="437"/>
    <s v="NÃO LOCALIZADO"/>
    <s v="TELEFONES SEM ATENDIMENTO"/>
    <n v="9"/>
    <x v="13"/>
    <s v="9.14"/>
    <s v="gleise"/>
    <s v="Acima de 361"/>
    <s v="ACIONAMENTO"/>
    <x v="0"/>
  </r>
  <r>
    <s v="COGECOM"/>
    <n v="4002425245"/>
    <s v="DANIEL EDGAR DIOGO"/>
    <s v="OUT"/>
    <s v="OUTROS"/>
    <n v="195765010"/>
    <x v="0"/>
    <s v="1473.14"/>
    <s v="183.37"/>
    <n v="252"/>
    <s v="NÃO LOCALIZADO"/>
    <s v="TELEFONES SEM ATENDIMENTO"/>
    <n v="9"/>
    <x v="13"/>
    <s v="9.27"/>
    <s v="anakeppe"/>
    <s v="181 a 360"/>
    <s v="ACIONAMENTO"/>
    <x v="0"/>
  </r>
  <r>
    <s v="COGECOM"/>
    <n v="104089970"/>
    <s v="DANILO JOSE MATIAS"/>
    <s v="OUT"/>
    <s v="OUTROS"/>
    <n v="8663388969"/>
    <x v="0"/>
    <s v="355.25"/>
    <s v="141.89"/>
    <n v="194"/>
    <s v="NÃO LOCALIZADO"/>
    <s v="TELEFONES SEM ATENDIMENTO"/>
    <n v="9"/>
    <x v="13"/>
    <s v="9.28"/>
    <s v="gleise"/>
    <s v="181 a 360"/>
    <s v="ACIONAMENTO"/>
    <x v="0"/>
  </r>
  <r>
    <s v="COGECOM"/>
    <n v="10028808531"/>
    <s v="DANILO SORRENTI DOS SANTOS"/>
    <s v="OUT"/>
    <s v="OUTROS"/>
    <n v="4196302106"/>
    <x v="0"/>
    <s v="131.77"/>
    <s v="19.42"/>
    <n v="219"/>
    <s v="SEM INTERESSE"/>
    <s v="NEGOCIAÇÃO VIA TELEFONE"/>
    <n v="9"/>
    <x v="13"/>
    <s v="14.55"/>
    <s v="gleise"/>
    <s v="181 a 360"/>
    <s v="CPC"/>
    <x v="1"/>
  </r>
  <r>
    <s v="COGECOM"/>
    <n v="20322136"/>
    <s v="ENILDA BORGES DA SILVA"/>
    <s v="OUT"/>
    <s v="OUTROS"/>
    <n v="21913633187"/>
    <x v="0"/>
    <s v="902.83"/>
    <s v="36.05"/>
    <n v="217"/>
    <s v="SEM INTERESSE"/>
    <s v="SEM INTERESSE"/>
    <n v="9"/>
    <x v="13"/>
    <s v="11.55"/>
    <s v="anne"/>
    <s v="181 a 360"/>
    <s v="CPC"/>
    <x v="1"/>
  </r>
  <r>
    <s v="COGECOM"/>
    <n v="84556447"/>
    <s v="Felipe Foureaux Freitas"/>
    <s v="OUT"/>
    <s v="OUTROS"/>
    <n v="5854824620"/>
    <x v="0"/>
    <s v="546.24"/>
    <s v="546.24"/>
    <n v="350"/>
    <s v="NÃO LOCALIZADO"/>
    <s v="TELEFONES SEM ATENDIMENTO"/>
    <n v="9"/>
    <x v="13"/>
    <s v="9.55"/>
    <s v="anakeppe"/>
    <s v="181 a 360"/>
    <s v="ACIONAMENTO"/>
    <x v="0"/>
  </r>
  <r>
    <s v="COGECOM"/>
    <n v="3013134539"/>
    <s v="GABRIEL OLIVEIRA ALVES"/>
    <s v="OUT"/>
    <s v="OUTROS"/>
    <n v="2328484670"/>
    <x v="0"/>
    <s v="174.96"/>
    <s v="49.74"/>
    <n v="371"/>
    <s v="NÃO LOCALIZADO"/>
    <s v="TELEFONES SEM ATENDIMENTO"/>
    <n v="9"/>
    <x v="13"/>
    <s v="11.20"/>
    <s v="anakeppe"/>
    <s v="Acima de 361"/>
    <s v="ACIONAMENTO"/>
    <x v="0"/>
  </r>
  <r>
    <s v="COGECOM"/>
    <n v="77689780"/>
    <s v="GS SOLUCOES ADMINISTRATIVAS LTDA"/>
    <s v="OUT"/>
    <s v="OUTROS"/>
    <n v="38284768000107"/>
    <x v="0"/>
    <s v="986.72"/>
    <s v="112.54"/>
    <n v="603"/>
    <s v="NÃO LOCALIZADO"/>
    <s v="TELEFONES SEM ATENDIMENTO"/>
    <n v="9"/>
    <x v="13"/>
    <s v="16.49"/>
    <s v="anne"/>
    <s v="Acima de 361"/>
    <s v="ACIONAMENTO"/>
    <x v="0"/>
  </r>
  <r>
    <s v="COGECOM"/>
    <n v="10017970227"/>
    <s v="INDIRA CORDEIRO DE OLIVEIRA"/>
    <s v="OUT"/>
    <s v="OUTROS"/>
    <n v="4067648596"/>
    <x v="0"/>
    <s v="909.71"/>
    <s v="46.15"/>
    <n v="279"/>
    <s v="SEM INTERESSE"/>
    <s v="NEGOCIAÇÃO VIA TELEFONE"/>
    <n v="9"/>
    <x v="13"/>
    <s v="10.15"/>
    <s v="gleise"/>
    <s v="181 a 360"/>
    <s v="CPC"/>
    <x v="1"/>
  </r>
  <r>
    <s v="COGECOM"/>
    <n v="45793524"/>
    <s v="INEZ DA SILVA"/>
    <s v="OUT"/>
    <s v="OUTROS"/>
    <n v="60958308934"/>
    <x v="0"/>
    <s v="991.09"/>
    <s v="197.40"/>
    <n v="202"/>
    <s v="NÃO LOCALIZADO"/>
    <s v="TELEFONES SEM ATENDIMENTO"/>
    <n v="9"/>
    <x v="13"/>
    <s v="10.46"/>
    <s v="anakeppe"/>
    <s v="181 a 360"/>
    <s v="ACIONAMENTO"/>
    <x v="0"/>
  </r>
  <r>
    <s v="COGECOM"/>
    <n v="3001458109"/>
    <s v="IRIS LUIZA BRAGIONI DE ANDRADE BARROS"/>
    <s v="OUT"/>
    <s v="OUTROS"/>
    <n v="1757701664"/>
    <x v="1"/>
    <s v="910.37"/>
    <s v="663.10"/>
    <n v="353"/>
    <s v="NÃO LOCALIZADO"/>
    <s v="TELEFONES SEM ATENDIMENTO"/>
    <n v="9"/>
    <x v="13"/>
    <s v="16.46"/>
    <s v="anakeppe"/>
    <s v="181 a 360"/>
    <s v="ACIONAMENTO"/>
    <x v="0"/>
  </r>
  <r>
    <s v="COGECOM"/>
    <n v="3000963452"/>
    <s v="ISABEL CRISTINA LAZARO"/>
    <s v="OUT"/>
    <s v="OUTROS"/>
    <n v="77422112620"/>
    <x v="0"/>
    <s v="489.75"/>
    <s v="174.51"/>
    <n v="211"/>
    <s v="NÃO LOCALIZADO"/>
    <s v="TELEFONES SEM ATENDIMENTO"/>
    <n v="9"/>
    <x v="13"/>
    <s v="13.23"/>
    <s v="gleise"/>
    <s v="181 a 360"/>
    <s v="ACIONAMENTO"/>
    <x v="0"/>
  </r>
  <r>
    <s v="COGECOM"/>
    <n v="10021087383"/>
    <s v="ISRAEL MOURA FILHO"/>
    <s v="OUT"/>
    <s v="OUTROS"/>
    <n v="98487531172"/>
    <x v="0"/>
    <s v="1619.36"/>
    <s v="50.48"/>
    <n v="218"/>
    <s v="NÃO LOCALIZADO"/>
    <s v="TELEFONES SEM ATENDIMENTO"/>
    <n v="9"/>
    <x v="13"/>
    <s v="9.49"/>
    <s v="anakeppe"/>
    <s v="181 a 360"/>
    <s v="ACIONAMENTO"/>
    <x v="0"/>
  </r>
  <r>
    <s v="COGECOM"/>
    <n v="88565238"/>
    <s v="JEAN CARLOS NANI"/>
    <s v="OUT"/>
    <s v="OUTROS"/>
    <n v="15886761888"/>
    <x v="0"/>
    <s v="295.09"/>
    <s v="161.34"/>
    <n v="196"/>
    <s v="NÃO LOCALIZADO"/>
    <s v="TELEFONES SEM ATENDIMENTO"/>
    <n v="9"/>
    <x v="13"/>
    <s v="13.25"/>
    <s v="gleise"/>
    <s v="181 a 360"/>
    <s v="ACIONAMENTO"/>
    <x v="0"/>
  </r>
  <r>
    <s v="COGECOM"/>
    <n v="3095787934"/>
    <s v="JONATAS MACIEL DA SILVA"/>
    <s v="OUT"/>
    <s v="OUTROS"/>
    <n v="2728292000"/>
    <x v="0"/>
    <s v="698.22"/>
    <s v="698.22"/>
    <n v="272"/>
    <s v="NÃO LOCALIZADO"/>
    <s v="TELEFONES SEM ATENDIMENTO"/>
    <n v="9"/>
    <x v="13"/>
    <s v="15.42"/>
    <s v="gleise"/>
    <s v="181 a 360"/>
    <s v="ACIONAMENTO"/>
    <x v="0"/>
  </r>
  <r>
    <s v="COGECOM"/>
    <n v="3082578784"/>
    <s v="LEDA MARIA FAVRETO"/>
    <s v="OUT"/>
    <s v="OUTROS"/>
    <n v="47720905920"/>
    <x v="0"/>
    <s v="983.02"/>
    <s v="127.14"/>
    <n v="238"/>
    <s v="NÃO LOCALIZADO"/>
    <s v="TELEFONES SEM ATENDIMENTO"/>
    <n v="9"/>
    <x v="13"/>
    <s v="16.37"/>
    <s v="anne"/>
    <s v="181 a 360"/>
    <s v="ACIONAMENTO"/>
    <x v="0"/>
  </r>
  <r>
    <s v="COGECOM"/>
    <n v="3001275171"/>
    <s v="LUCIANA LUZ PEREIRA DA SILVA"/>
    <s v="OUT"/>
    <s v="OUTROS"/>
    <n v="73815063604"/>
    <x v="0"/>
    <s v="411.02"/>
    <s v="93.71"/>
    <n v="214"/>
    <s v="EM NEGOCIAÇÃO"/>
    <s v="ESTORNO"/>
    <n v="9"/>
    <x v="13"/>
    <s v="14.52"/>
    <s v="luciano"/>
    <s v="181 a 360"/>
    <s v="ACIONAMENTO"/>
    <x v="2"/>
  </r>
  <r>
    <s v="COGECOM"/>
    <n v="17429055"/>
    <s v="LUCIANO LEMES DOS SANTOS"/>
    <s v="OUT"/>
    <s v="OUTROS"/>
    <n v="80702570168"/>
    <x v="0"/>
    <s v="780.82"/>
    <s v="209.76"/>
    <n v="352"/>
    <s v="NÃO LOCALIZADO"/>
    <s v="TELEFONES SEM ATENDIMENTO"/>
    <n v="9"/>
    <x v="13"/>
    <s v="15.44"/>
    <s v="anne"/>
    <s v="181 a 360"/>
    <s v="ACIONAMENTO"/>
    <x v="0"/>
  </r>
  <r>
    <s v="COGECOM"/>
    <n v="1550024404"/>
    <s v="LUCILEIDE DA SILVA AMORIM"/>
    <s v="OUT"/>
    <s v="OUTROS"/>
    <n v="74943804500"/>
    <x v="0"/>
    <s v="301.58"/>
    <s v="14.42"/>
    <n v="218"/>
    <s v="NÃO LOCALIZADO"/>
    <s v="TELEFONES SEM ATENDIMENTO"/>
    <n v="9"/>
    <x v="13"/>
    <s v="11.35"/>
    <s v="anakeppe"/>
    <s v="181 a 360"/>
    <s v="ACIONAMENTO"/>
    <x v="0"/>
  </r>
  <r>
    <s v="COGECOM"/>
    <n v="3095773369"/>
    <s v="MARCO ANTONIO DA SILVA BARBOSA JUNIOR"/>
    <s v="OUT"/>
    <s v="OUTROS"/>
    <n v="768027012"/>
    <x v="1"/>
    <s v="1631.50"/>
    <s v="222.84"/>
    <n v="356"/>
    <s v="NÃO LOCALIZADO"/>
    <s v="TELEFONES SEM ATENDIMENTO"/>
    <n v="9"/>
    <x v="13"/>
    <s v="15.40"/>
    <s v="anne"/>
    <s v="181 a 360"/>
    <s v="ACIONAMENTO"/>
    <x v="0"/>
  </r>
  <r>
    <s v="COGECOM"/>
    <n v="33049017"/>
    <s v="MARCOS ANTONIO DA SILVA"/>
    <s v="OUT"/>
    <s v="OUTROS"/>
    <n v="71719806934"/>
    <x v="0"/>
    <s v="956.36"/>
    <s v="323.90"/>
    <n v="400"/>
    <s v="NÃO LOCALIZADO"/>
    <s v="TELEFONES SEM ATENDIMENTO"/>
    <n v="9"/>
    <x v="13"/>
    <s v="11.13"/>
    <s v="gleise"/>
    <s v="Acima de 361"/>
    <s v="ACIONAMENTO"/>
    <x v="0"/>
  </r>
  <r>
    <s v="COGECOM"/>
    <n v="10922271"/>
    <s v="MARIA MARGARIDA DE OLIVEIRA FREITAS"/>
    <s v="OUT"/>
    <s v="OUTROS"/>
    <n v="24740519100"/>
    <x v="0"/>
    <s v="664.73"/>
    <s v="73.29"/>
    <n v="280"/>
    <s v="SEM INTERESSE"/>
    <s v="NEGOCIAÇÃO VIA TELEFONE"/>
    <n v="9"/>
    <x v="13"/>
    <s v="16.40"/>
    <s v="anakeppe"/>
    <s v="181 a 360"/>
    <s v="CPC"/>
    <x v="1"/>
  </r>
  <r>
    <s v="COGECOM"/>
    <n v="10030945753"/>
    <s v="NATHALIA BRENNER ZULIAN"/>
    <s v="OUT"/>
    <s v="OUTROS"/>
    <n v="34500339809"/>
    <x v="0"/>
    <s v="1700.17"/>
    <s v="122.14"/>
    <n v="225"/>
    <s v="NÃO LOCALIZADO"/>
    <s v="TELEFONES SEM ATENDIMENTO"/>
    <n v="9"/>
    <x v="13"/>
    <s v="9.45"/>
    <s v="anakeppe"/>
    <s v="181 a 360"/>
    <s v="ACIONAMENTO"/>
    <x v="0"/>
  </r>
  <r>
    <s v="COGECOM"/>
    <n v="1390164450"/>
    <s v="NEUSA LUCIA OLIVEIRA FIALHO"/>
    <s v="OUT"/>
    <s v="OUTROS"/>
    <n v="98832654172"/>
    <x v="0"/>
    <s v="303.92"/>
    <s v="85.31"/>
    <n v="280"/>
    <s v="NÃO LOCALIZADO"/>
    <s v="TELEFONES SEM ATENDIMENTO"/>
    <n v="9"/>
    <x v="13"/>
    <s v="11.10"/>
    <s v="anakeppe"/>
    <s v="181 a 360"/>
    <s v="ACIONAMENTO"/>
    <x v="0"/>
  </r>
  <r>
    <s v="COGECOM"/>
    <n v="3092851089"/>
    <s v="NICE BRITO DE OLIVEIRA"/>
    <s v="OUT"/>
    <s v="OUTROS"/>
    <n v="81457243091"/>
    <x v="0"/>
    <s v="2360.15"/>
    <s v="748.09"/>
    <n v="353"/>
    <s v="NÃO LOCALIZADO"/>
    <s v="TELEFONES SEM ATENDIMENTO"/>
    <n v="9"/>
    <x v="13"/>
    <s v="13.39"/>
    <s v="anne"/>
    <s v="181 a 360"/>
    <s v="ACIONAMENTO"/>
    <x v="0"/>
  </r>
  <r>
    <s v="COGECOM"/>
    <n v="3006106757"/>
    <s v="NILCINEI DE MELLO AIRES"/>
    <s v="OUT"/>
    <s v="OUTROS"/>
    <n v="7169465647"/>
    <x v="0"/>
    <s v="433.93"/>
    <s v="98.69"/>
    <n v="214"/>
    <s v="NÃO LOCALIZADO"/>
    <s v="TELEFONES SEM ATENDIMENTO"/>
    <n v="9"/>
    <x v="13"/>
    <s v="11.09"/>
    <s v="anakeppe"/>
    <s v="181 a 360"/>
    <s v="ACIONAMENTO"/>
    <x v="0"/>
  </r>
  <r>
    <s v="COGECOM"/>
    <n v="32148216"/>
    <s v="OLIVER RICARDO"/>
    <s v="OUT"/>
    <s v="OUTROS"/>
    <n v="2845608985"/>
    <x v="0"/>
    <s v="1536.35"/>
    <s v="180.37"/>
    <n v="434"/>
    <s v="NÃO LOCALIZADO"/>
    <s v="TELEFONES SEM ATENDIMENTO"/>
    <n v="9"/>
    <x v="13"/>
    <s v="16.01"/>
    <s v="anne"/>
    <s v="Acima de 361"/>
    <s v="ACIONAMENTO"/>
    <x v="0"/>
  </r>
  <r>
    <s v="COGECOM"/>
    <n v="3081778913"/>
    <s v="PAULO CESAR PRESA ALVES"/>
    <s v="OUT"/>
    <s v="OUTROS"/>
    <n v="29014786034"/>
    <x v="0"/>
    <s v="228.18"/>
    <s v="228.18"/>
    <n v="394"/>
    <s v="NÃO LOCALIZADO"/>
    <s v="TELEFONES SEM ATENDIMENTO"/>
    <n v="9"/>
    <x v="13"/>
    <s v="10.38"/>
    <s v="anakeppe"/>
    <s v="Acima de 361"/>
    <s v="ACIONAMENTO"/>
    <x v="0"/>
  </r>
  <r>
    <s v="COGECOM"/>
    <n v="10018578010"/>
    <s v="PRECILIA DA SILVA MARINHO"/>
    <s v="OUT"/>
    <s v="OUTROS"/>
    <n v="31808524888"/>
    <x v="0"/>
    <s v="1698.79"/>
    <s v="241.73"/>
    <n v="367"/>
    <s v="NÃO LOCALIZADO"/>
    <s v="TELEFONES SEM ATENDIMENTO"/>
    <n v="9"/>
    <x v="13"/>
    <s v="9.09"/>
    <s v="gleise"/>
    <s v="Acima de 361"/>
    <s v="ACIONAMENTO"/>
    <x v="0"/>
  </r>
  <r>
    <s v="COGECOM"/>
    <n v="10030176199"/>
    <s v="RUI BARBOSA"/>
    <s v="OUT"/>
    <s v="OUTROS"/>
    <n v="2688897160"/>
    <x v="0"/>
    <s v="1457.83"/>
    <s v="332.06"/>
    <n v="295"/>
    <s v="EM NEGOCIAÇÃO"/>
    <s v="NEGOCIAÇÃO VIA TELEFONE"/>
    <n v="9"/>
    <x v="13"/>
    <s v="10.57"/>
    <s v="anne"/>
    <s v="181 a 360"/>
    <s v="CPC"/>
    <x v="2"/>
  </r>
  <r>
    <s v="COGECOM"/>
    <n v="630171543"/>
    <s v="RUTH ALVES"/>
    <s v="OUT"/>
    <s v="OUTROS"/>
    <n v="23948612668"/>
    <x v="0"/>
    <s v="931.38"/>
    <s v="150.84"/>
    <n v="352"/>
    <s v="NÃO LOCALIZADO"/>
    <s v="TELEFONES SEM ATENDIMENTO"/>
    <n v="9"/>
    <x v="13"/>
    <s v="13.28"/>
    <s v="gleise"/>
    <s v="181 a 360"/>
    <s v="ACIONAMENTO"/>
    <x v="0"/>
  </r>
  <r>
    <s v="COGECOM"/>
    <n v="3080699825"/>
    <s v="SCHARLIZE LOPES ROSALES"/>
    <s v="OUT"/>
    <s v="OUTROS"/>
    <n v="1785911066"/>
    <x v="0"/>
    <s v="447.10"/>
    <s v="282.85"/>
    <n v="471"/>
    <s v="NÃO LOCALIZADO"/>
    <s v="TELEFONES SEM ATENDIMENTO"/>
    <n v="9"/>
    <x v="13"/>
    <s v="11.20"/>
    <s v="gleise"/>
    <s v="Acima de 361"/>
    <s v="ACIONAMENTO"/>
    <x v="0"/>
  </r>
  <r>
    <s v="COGECOM"/>
    <n v="22237380"/>
    <s v="SERGIO TADEU VALDEIRA"/>
    <s v="OUT"/>
    <s v="OUTROS"/>
    <n v="66443237900"/>
    <x v="0"/>
    <s v="806.29"/>
    <s v="156.61"/>
    <n v="301"/>
    <s v="NÃO LOCALIZADO"/>
    <s v="TELEFONES SEM ATENDIMENTO"/>
    <n v="9"/>
    <x v="13"/>
    <s v="16.15"/>
    <s v="anne"/>
    <s v="181 a 360"/>
    <s v="ACIONAMENTO"/>
    <x v="0"/>
  </r>
  <r>
    <s v="COGECOM"/>
    <n v="10002031904"/>
    <s v="SONIA PINTO MACHADO"/>
    <s v="OUT"/>
    <s v="OUTROS"/>
    <n v="35047330125"/>
    <x v="0"/>
    <s v="365.02"/>
    <s v="134.19"/>
    <n v="202"/>
    <s v="NÃO LOCALIZADO"/>
    <s v="TELEFONES SEM ATENDIMENTO"/>
    <n v="9"/>
    <x v="13"/>
    <s v="9.33"/>
    <s v="gleise"/>
    <s v="181 a 360"/>
    <s v="ACIONAMENTO"/>
    <x v="0"/>
  </r>
  <r>
    <s v="COGECOM"/>
    <n v="10031722952"/>
    <s v="VINICIUS ROSSI MANDURUCA"/>
    <s v="OUT"/>
    <s v="OUTROS"/>
    <n v="96014377115"/>
    <x v="0"/>
    <s v="459.85"/>
    <s v="209.48"/>
    <n v="302"/>
    <s v="NÃO LOCALIZADO"/>
    <s v="TELEFONES SEM ATENDIMENTO"/>
    <n v="9"/>
    <x v="13"/>
    <s v="9.44"/>
    <s v="anakeppe"/>
    <s v="181 a 360"/>
    <s v="ACIONAMENTO"/>
    <x v="0"/>
  </r>
  <r>
    <s v="COGECOM"/>
    <n v="3095622166"/>
    <s v="VITOR DA SILVA KRAEMER"/>
    <s v="OUT"/>
    <s v="OUTROS"/>
    <n v="249546086"/>
    <x v="0"/>
    <s v="729.77"/>
    <s v="119.11"/>
    <n v="379"/>
    <s v="NÃO LOCALIZADO"/>
    <s v="TELEFONES SEM ATENDIMENTO"/>
    <n v="9"/>
    <x v="13"/>
    <s v="16.45"/>
    <s v="anne"/>
    <s v="Acima de 361"/>
    <s v="ACIONAMENTO"/>
    <x v="0"/>
  </r>
  <r>
    <s v="COGECOM"/>
    <n v="55080658"/>
    <s v="VITOR DE OLIVEIRA COLLING"/>
    <s v="OUT"/>
    <s v="OUTROS"/>
    <n v="5819609980"/>
    <x v="0"/>
    <s v="24.22"/>
    <s v="24.22"/>
    <n v="380"/>
    <s v="SEM INTERESSE"/>
    <s v="SEM INTERESSE"/>
    <n v="9"/>
    <x v="13"/>
    <s v="12.02"/>
    <s v="anne"/>
    <s v="Acima de 361"/>
    <s v="CPC"/>
    <x v="1"/>
  </r>
  <r>
    <s v="COGECOM"/>
    <n v="3083263859"/>
    <s v="VITORIA MARGARIDA ROTTA BARBOSA"/>
    <s v="OUT"/>
    <s v="OUTROS"/>
    <n v="64506304004"/>
    <x v="0"/>
    <s v="694.35"/>
    <s v="488.57"/>
    <n v="384"/>
    <s v="NÃO LOCALIZADO"/>
    <s v="TELEFONES SEM ATENDIMENTO"/>
    <n v="9"/>
    <x v="13"/>
    <s v="10.48"/>
    <s v="gleise"/>
    <s v="Acima de 361"/>
    <s v="ACIONAMENTO"/>
    <x v="0"/>
  </r>
  <r>
    <s v="COGECOM"/>
    <n v="57393214"/>
    <s v="COMÉRCIO DE MATERIAIS DE CONSTRUÇÃO AMAPAR LTDA"/>
    <s v="OUT"/>
    <s v="OUTROS"/>
    <n v="81745341000198"/>
    <x v="0"/>
    <s v="4224.91"/>
    <s v="899.91"/>
    <n v="488"/>
    <s v="NÃO LOCALIZADO"/>
    <s v="TELEFONES SEM ATENDIMENTO"/>
    <n v="9"/>
    <x v="13"/>
    <s v="15.52"/>
    <s v="anakeppe"/>
    <s v="Acima de 361"/>
    <s v="ACIONAMENTO"/>
    <x v="0"/>
  </r>
  <r>
    <s v="COGECOM"/>
    <n v="102880565"/>
    <s v="HELSIO BARTNIK KORSANKE SILVA"/>
    <s v="OUT"/>
    <s v="OUTROS"/>
    <n v="4308030951"/>
    <x v="0"/>
    <s v="539.00"/>
    <s v="437.71"/>
    <n v="183"/>
    <s v="NÃO LOCALIZADO"/>
    <s v="TELEFONES SEM ATENDIMENTO"/>
    <n v="9"/>
    <x v="13"/>
    <s v="16.48"/>
    <s v="anakeppe"/>
    <s v="181 a 360"/>
    <s v="ACIONAMENTO"/>
    <x v="0"/>
  </r>
  <r>
    <s v="COGECOM"/>
    <n v="46779523"/>
    <s v="ANDRESSA BARBARA"/>
    <s v="OUT"/>
    <s v="OUTROS"/>
    <n v="8648679990"/>
    <x v="0"/>
    <s v="1851.11"/>
    <s v="252.20"/>
    <n v="185"/>
    <s v="SEM INTERESSE"/>
    <s v="SEM INTERESSE"/>
    <n v="9"/>
    <x v="13"/>
    <s v="14.06"/>
    <s v="anne"/>
    <s v="181 a 360"/>
    <s v="CPC"/>
    <x v="1"/>
  </r>
  <r>
    <s v="COGECOM"/>
    <n v="83178228"/>
    <s v="MEIRE SILVIA GARCIA"/>
    <s v="OUT"/>
    <s v="OUTROS"/>
    <n v="14482896888"/>
    <x v="1"/>
    <s v="244.91"/>
    <s v="244.91"/>
    <n v="187"/>
    <s v="NÃO LOCALIZADO"/>
    <s v="TELEFONES SEM ATENDIMENTO"/>
    <n v="9"/>
    <x v="13"/>
    <s v="10.33"/>
    <s v="anakeppe"/>
    <s v="181 a 360"/>
    <s v="ACIONAMENTO"/>
    <x v="0"/>
  </r>
  <r>
    <s v="COGECOM"/>
    <n v="1180030210"/>
    <s v="WANDERLY MACHADO BORGES"/>
    <s v="OUT"/>
    <s v="OUTROS"/>
    <n v="31988776104"/>
    <x v="1"/>
    <s v="0.00"/>
    <s v="131.54"/>
    <n v="158"/>
    <s v="SEM INTERESSE"/>
    <s v="NEGOCIAÇÃO VIA TELEFONE"/>
    <n v="9"/>
    <x v="13"/>
    <s v="14.14"/>
    <s v="gleise"/>
    <s v="91 a 180"/>
    <s v="CPC"/>
    <x v="1"/>
  </r>
  <r>
    <s v="COGECOM"/>
    <n v="30007689"/>
    <s v="GLAUCO VIEIRA RODRIGUES"/>
    <s v="OUT"/>
    <s v="OUTROS"/>
    <n v="793170907"/>
    <x v="1"/>
    <s v="409.23"/>
    <s v="103.98"/>
    <n v="179"/>
    <s v="NÃO LOCALIZADO"/>
    <s v="TELEFONES SEM ATENDIMENTO"/>
    <n v="9"/>
    <x v="13"/>
    <s v="14.07"/>
    <s v="gleise"/>
    <s v="91 a 180"/>
    <s v="ACIONAMENTO"/>
    <x v="0"/>
  </r>
  <r>
    <s v="COGECOM"/>
    <n v="3002157255"/>
    <s v="LUCAS NATANAEL RIBEIRO COSTA"/>
    <s v="OUT"/>
    <s v="OUTROS"/>
    <n v="14242104618"/>
    <x v="0"/>
    <s v="489.35"/>
    <s v="75.32"/>
    <n v="185"/>
    <s v="NÃO LOCALIZADO"/>
    <s v="TELEFONES SEM ATENDIMENTO"/>
    <n v="9"/>
    <x v="13"/>
    <s v="14.33"/>
    <s v="gleise"/>
    <s v="181 a 360"/>
    <s v="ACIONAMENTO"/>
    <x v="0"/>
  </r>
  <r>
    <s v="COGECOM"/>
    <n v="10011093780"/>
    <s v="RODRIGO BARBOSA DE OLIVEIRA"/>
    <s v="OUT"/>
    <s v="OUTROS"/>
    <n v="70894663100"/>
    <x v="0"/>
    <s v="83.65"/>
    <s v="83.65"/>
    <n v="154"/>
    <s v="NÃO LOCALIZADO"/>
    <s v="TELEFONES SEM ATENDIMENTO"/>
    <n v="9"/>
    <x v="13"/>
    <s v="11.38"/>
    <s v="anne"/>
    <s v="91 a 180"/>
    <s v="ACIONAMENTO"/>
    <x v="0"/>
  </r>
  <r>
    <s v="COGECOM"/>
    <n v="10023130987"/>
    <s v="JOSE CARLOS CASTRO SANTOS"/>
    <s v="OUT"/>
    <s v="OUTROS"/>
    <n v="59197552100"/>
    <x v="0"/>
    <s v="457.08"/>
    <s v="100.48"/>
    <n v="167"/>
    <s v="SEM INTERESSE"/>
    <s v="SEM INTERESSE"/>
    <n v="9"/>
    <x v="13"/>
    <s v="11.32"/>
    <s v="anne"/>
    <s v="91 a 180"/>
    <s v="CPC"/>
    <x v="1"/>
  </r>
  <r>
    <s v="COGECOM"/>
    <n v="10017144335"/>
    <s v="GILDSON CRISTIANO ALVES FEITOZA CARDOSO"/>
    <s v="OUT"/>
    <s v="OUTROS"/>
    <n v="72141425115"/>
    <x v="0"/>
    <s v="238.71"/>
    <s v="59.61"/>
    <n v="154"/>
    <s v="NÃO LOCALIZADO"/>
    <s v="TELEFONES SEM ATENDIMENTO"/>
    <n v="9"/>
    <x v="13"/>
    <s v="14.40"/>
    <s v="gleise"/>
    <s v="91 a 180"/>
    <s v="ACIONAMENTO"/>
    <x v="0"/>
  </r>
  <r>
    <s v="COGECOM"/>
    <n v="51824814"/>
    <s v="ALEX DE SOUZA PEREIRA"/>
    <s v="OUT"/>
    <s v="OUTROS"/>
    <n v="2079861930"/>
    <x v="0"/>
    <s v="1330.12"/>
    <s v="446.75"/>
    <n v="347"/>
    <s v="NÃO LOCALIZADO"/>
    <s v="TELEFONES SEM ATENDIMENTO"/>
    <n v="9"/>
    <x v="13"/>
    <s v="16.14"/>
    <s v="gleise"/>
    <s v="181 a 360"/>
    <s v="ACIONAMENTO"/>
    <x v="0"/>
  </r>
  <r>
    <s v="COGECOM"/>
    <n v="41185562"/>
    <s v="FRANCISCO CESAR DE ALENCAR"/>
    <s v="OUT"/>
    <s v="OUTROS"/>
    <n v="2961193931"/>
    <x v="0"/>
    <s v="364.55"/>
    <s v="237.17"/>
    <n v="147"/>
    <s v="NÃO LOCALIZADO"/>
    <s v="TELEFONES SEM ATENDIMENTO"/>
    <n v="9"/>
    <x v="13"/>
    <s v="15.06"/>
    <s v="anne"/>
    <s v="91 a 180"/>
    <s v="ACIONAMENTO"/>
    <x v="0"/>
  </r>
  <r>
    <s v="COGECOM"/>
    <n v="48282245"/>
    <s v="EZEQUIAS DOS SANTOS SILVA"/>
    <s v="OUT"/>
    <s v="OUTROS"/>
    <n v="31121965890"/>
    <x v="0"/>
    <s v="222.16"/>
    <s v="222.16"/>
    <n v="152"/>
    <s v="NÃO LOCALIZADO"/>
    <s v="TELEFONES SEM ATENDIMENTO"/>
    <n v="9"/>
    <x v="13"/>
    <s v="11.57"/>
    <s v="gleise"/>
    <s v="91 a 180"/>
    <s v="ACIONAMENTO"/>
    <x v="0"/>
  </r>
  <r>
    <s v="COGECOM"/>
    <n v="28302703"/>
    <s v="FLÁVIO MONTEIRO DOS SANTOS"/>
    <s v="OUT"/>
    <s v="OUTROS"/>
    <n v="3041497999"/>
    <x v="0"/>
    <s v="622.34"/>
    <s v="246.80"/>
    <n v="147"/>
    <s v="NÃO LOCALIZADO"/>
    <s v="TELEFONES SEM ATENDIMENTO"/>
    <n v="9"/>
    <x v="13"/>
    <s v="10.32"/>
    <s v="anakeppe"/>
    <s v="91 a 180"/>
    <s v="ACIONAMENTO"/>
    <x v="0"/>
  </r>
  <r>
    <s v="COGECOM"/>
    <n v="107077795"/>
    <s v="ALEX JOSE SCHEID"/>
    <s v="OUT"/>
    <s v="OUTROS"/>
    <n v="7576490926"/>
    <x v="1"/>
    <s v="262.51"/>
    <s v="262.51"/>
    <n v="162"/>
    <s v="NÃO LOCALIZADO"/>
    <s v="TELEFONES SEM ATENDIMENTO"/>
    <n v="9"/>
    <x v="13"/>
    <s v="10.29"/>
    <s v="anakeppe"/>
    <s v="91 a 180"/>
    <s v="ACIONAMENTO"/>
    <x v="0"/>
  </r>
  <r>
    <s v="COGECOM"/>
    <n v="3013319003"/>
    <s v="JOSE LEANDRO DE OLIVEIRA"/>
    <s v="OUT"/>
    <s v="OUTROS"/>
    <n v="11601135483"/>
    <x v="0"/>
    <s v="205.23"/>
    <s v="31.46"/>
    <n v="153"/>
    <s v="NÃO LOCALIZADO"/>
    <s v="TELEFONES SEM ATENDIMENTO"/>
    <n v="9"/>
    <x v="13"/>
    <s v="11.24"/>
    <s v="anakeppe"/>
    <s v="91 a 180"/>
    <s v="ACIONAMENTO"/>
    <x v="0"/>
  </r>
  <r>
    <s v="COGECOM"/>
    <n v="12042614"/>
    <s v="ALVINO PEREIRA DA SILVA FILHO"/>
    <s v="OUT"/>
    <s v="OUTROS"/>
    <n v="79711308134"/>
    <x v="0"/>
    <s v="1106.32"/>
    <s v="953.85"/>
    <n v="130"/>
    <s v="SEM INTERESSE"/>
    <s v="NEGOCIAÇÃO VIA TELEFONE"/>
    <n v="9"/>
    <x v="13"/>
    <s v="10.26"/>
    <s v="gleise"/>
    <s v="91 a 180"/>
    <s v="CPC"/>
    <x v="1"/>
  </r>
  <r>
    <s v="COGECOM"/>
    <n v="69668833"/>
    <s v="SAMIR MUSTAFA HAMDAR"/>
    <s v="OUT"/>
    <s v="OUTROS"/>
    <n v="655407944"/>
    <x v="1"/>
    <s v="816.35"/>
    <s v="816.35"/>
    <n v="116"/>
    <s v="NÃO LOCALIZADO"/>
    <s v="TELEFONES SEM ATENDIMENTO"/>
    <n v="9"/>
    <x v="13"/>
    <s v="15.29"/>
    <s v="gleise"/>
    <s v="91 a 180"/>
    <s v="ACIONAMENTO"/>
    <x v="0"/>
  </r>
  <r>
    <s v="COGECOM"/>
    <n v="3001112431"/>
    <s v="GUILHERME MAGALHÃES"/>
    <s v="OUT"/>
    <s v="OUTROS"/>
    <n v="8943782608"/>
    <x v="0"/>
    <s v="2373.79"/>
    <s v="675.82"/>
    <n v="149"/>
    <s v="NÃO LOCALIZADO"/>
    <s v="TELEFONES SEM ATENDIMENTO"/>
    <n v="9"/>
    <x v="13"/>
    <s v="16.45"/>
    <s v="anakeppe"/>
    <s v="91 a 180"/>
    <s v="ACIONAMENTO"/>
    <x v="0"/>
  </r>
  <r>
    <s v="COGECOM"/>
    <n v="4000372666"/>
    <s v="NELSON DE AZEVEDO PERES"/>
    <s v="OUT"/>
    <s v="OUTROS"/>
    <n v="33052512803"/>
    <x v="0"/>
    <s v="884.43"/>
    <s v="346.70"/>
    <n v="131"/>
    <s v="NÃO LOCALIZADO"/>
    <s v="TELEFONES SEM ATENDIMENTO"/>
    <n v="9"/>
    <x v="13"/>
    <s v="14.18"/>
    <s v="anne"/>
    <s v="91 a 180"/>
    <s v="ACIONAMENTO"/>
    <x v="0"/>
  </r>
  <r>
    <s v="COGECOM"/>
    <n v="3002432317"/>
    <s v="JUDITE MARTINS ALVES"/>
    <s v="OUT"/>
    <s v="OUTROS"/>
    <n v="30840430604"/>
    <x v="0"/>
    <s v="303.92"/>
    <s v="303.92"/>
    <n v="143"/>
    <s v="NÃO LOCALIZADO"/>
    <s v="TELEFONES SEM ATENDIMENTO"/>
    <n v="9"/>
    <x v="13"/>
    <s v="14.26"/>
    <s v="anne"/>
    <s v="91 a 180"/>
    <s v="ACIONAMENTO"/>
    <x v="0"/>
  </r>
  <r>
    <s v="COGECOM"/>
    <n v="454044"/>
    <s v="CLAUDIO ITACIR DELLA NINA DA SILVA"/>
    <s v="OUT"/>
    <s v="OUTROS"/>
    <n v="2781506753"/>
    <x v="0"/>
    <s v="605.13"/>
    <s v="289.08"/>
    <n v="131"/>
    <s v="NÃO LOCALIZADO"/>
    <s v="TELEFONES SEM ATENDIMENTO"/>
    <n v="9"/>
    <x v="13"/>
    <s v="14.35"/>
    <s v="anne"/>
    <s v="91 a 180"/>
    <s v="ACIONAMENTO"/>
    <x v="0"/>
  </r>
  <r>
    <s v="COGECOM"/>
    <n v="102530483"/>
    <s v="ANDRE LUIZ PEREIRA"/>
    <s v="OUT"/>
    <s v="OUTROS"/>
    <n v="7064398990"/>
    <x v="1"/>
    <s v="0.00"/>
    <s v="278.15"/>
    <n v="127"/>
    <s v="NÃO LOCALIZADO"/>
    <s v="TELEFONES SEM ATENDIMENTO"/>
    <n v="9"/>
    <x v="13"/>
    <s v="11.05"/>
    <s v="gleise"/>
    <s v="91 a 180"/>
    <s v="ACIONAMENTO"/>
    <x v="0"/>
  </r>
  <r>
    <s v="COGECOM"/>
    <n v="1990003373"/>
    <s v="SUELI BORGES DA CUNHA FERREIRA"/>
    <s v="OUT"/>
    <s v="OUTROS"/>
    <n v="28903293134"/>
    <x v="0"/>
    <s v="758.47"/>
    <s v="238.29"/>
    <n v="141"/>
    <s v="NÃO LOCALIZADO"/>
    <s v="TELEFONES SEM ATENDIMENTO"/>
    <n v="9"/>
    <x v="13"/>
    <s v="11.43"/>
    <s v="gleise"/>
    <s v="91 a 180"/>
    <s v="ACIONAMENTO"/>
    <x v="0"/>
  </r>
  <r>
    <s v="COGECOM"/>
    <n v="17302572"/>
    <s v="RODRYGO DE ALENCAR RODRIGUES"/>
    <s v="OUT"/>
    <s v="OUTROS"/>
    <n v="2193963100"/>
    <x v="0"/>
    <s v="372.12"/>
    <s v="228.05"/>
    <n v="142"/>
    <s v="NÃO LOCALIZADO"/>
    <s v="TELEFONES SEM ATENDIMENTO"/>
    <n v="9"/>
    <x v="13"/>
    <s v="11.53"/>
    <s v="gleise"/>
    <s v="91 a 180"/>
    <s v="ACIONAMENTO"/>
    <x v="0"/>
  </r>
  <r>
    <s v="COGECOM"/>
    <n v="16400288"/>
    <s v="HELIO MARTINS DE SOUZA"/>
    <s v="OUT"/>
    <s v="OUTROS"/>
    <n v="25441825120"/>
    <x v="0"/>
    <s v="186.79"/>
    <s v="186.79"/>
    <n v="126"/>
    <s v="SEM INTERESSE"/>
    <s v="NEGOCIAÇÃO VIA TELEFONE"/>
    <n v="9"/>
    <x v="13"/>
    <s v="13.15"/>
    <s v="gleise"/>
    <s v="91 a 180"/>
    <s v="CPC"/>
    <x v="1"/>
  </r>
  <r>
    <s v="COGECOM"/>
    <n v="10014057857"/>
    <s v="ELIVAN VAZ GERMANO"/>
    <s v="OUT"/>
    <s v="OUTROS"/>
    <n v="58905324134"/>
    <x v="1"/>
    <s v="0.00"/>
    <s v="165.88"/>
    <n v="143"/>
    <s v="NÃO LOCALIZADO"/>
    <s v="TELEFONES SEM ATENDIMENTO"/>
    <n v="9"/>
    <x v="13"/>
    <s v="9.27"/>
    <s v="anakeppe"/>
    <s v="91 a 180"/>
    <s v="ACIONAMENTO"/>
    <x v="0"/>
  </r>
  <r>
    <s v="COGECOM"/>
    <n v="3001819532"/>
    <s v="MARCIO ALVES DA SILVA"/>
    <s v="OUT"/>
    <s v="OUTROS"/>
    <n v="4844859625"/>
    <x v="0"/>
    <s v="251.26"/>
    <s v="141.94"/>
    <n v="143"/>
    <s v="NÃO LOCALIZADO"/>
    <s v="TELEFONES SEM ATENDIMENTO"/>
    <n v="9"/>
    <x v="13"/>
    <s v="9.31"/>
    <s v="gleise"/>
    <s v="91 a 180"/>
    <s v="ACIONAMENTO"/>
    <x v="0"/>
  </r>
  <r>
    <s v="COGECOM"/>
    <n v="98650807"/>
    <s v="IVONE MOREIRA DA CUNHA MARCARI"/>
    <s v="OUT"/>
    <s v="OUTROS"/>
    <n v="63881632115"/>
    <x v="0"/>
    <s v="283.35"/>
    <s v="140.01"/>
    <n v="128"/>
    <s v="NÃO LOCALIZADO"/>
    <s v="TELEFONES SEM ATENDIMENTO"/>
    <n v="9"/>
    <x v="13"/>
    <s v="13.36"/>
    <s v="gleise"/>
    <s v="91 a 180"/>
    <s v="ACIONAMENTO"/>
    <x v="0"/>
  </r>
  <r>
    <s v="COGECOM"/>
    <n v="3002915736"/>
    <s v="LEONARDO SERGIO GUILHERME HUBNER"/>
    <s v="OUT"/>
    <s v="OUTROS"/>
    <n v="6139224683"/>
    <x v="0"/>
    <s v="208.07"/>
    <s v="106.00"/>
    <n v="143"/>
    <s v="NÃO LOCALIZADO"/>
    <s v="TELEFONES SEM ATENDIMENTO"/>
    <n v="9"/>
    <x v="13"/>
    <s v="9.45"/>
    <s v="gleise"/>
    <s v="91 a 180"/>
    <s v="ACIONAMENTO"/>
    <x v="0"/>
  </r>
  <r>
    <s v="COGECOM"/>
    <n v="11959757"/>
    <s v="IRINEA JUSTINA DE SOUZA"/>
    <s v="OUT"/>
    <s v="OUTROS"/>
    <n v="19226284172"/>
    <x v="0"/>
    <s v="294.15"/>
    <s v="81.96"/>
    <n v="141"/>
    <s v="NÃO LOCALIZADO"/>
    <s v="TELEFONES SEM ATENDIMENTO"/>
    <n v="9"/>
    <x v="13"/>
    <s v="11.11"/>
    <s v="anakeppe"/>
    <s v="91 a 180"/>
    <s v="ACIONAMENTO"/>
    <x v="0"/>
  </r>
  <r>
    <s v="COGECOM"/>
    <n v="14145856"/>
    <s v="EDLAINE FURTADO BARBOSA"/>
    <s v="OUT"/>
    <s v="OUTROS"/>
    <n v="2729286152"/>
    <x v="0"/>
    <s v="76.68"/>
    <s v="76.68"/>
    <n v="143"/>
    <s v="NÃO LOCALIZADO"/>
    <s v="TELEFONES SEM ATENDIMENTO"/>
    <n v="9"/>
    <x v="13"/>
    <s v="11.12"/>
    <s v="anakeppe"/>
    <s v="91 a 180"/>
    <s v="ACIONAMENTO"/>
    <x v="0"/>
  </r>
  <r>
    <s v="COGECOM"/>
    <n v="20245464"/>
    <s v="KANANDRA ARAUJO LUSTOSA"/>
    <s v="OUT"/>
    <s v="OUTROS"/>
    <n v="5608820339"/>
    <x v="0"/>
    <s v="269.36"/>
    <s v="69.11"/>
    <n v="141"/>
    <s v="NÃO LOCALIZADO"/>
    <s v="TELEFONES SEM ATENDIMENTO"/>
    <n v="9"/>
    <x v="13"/>
    <s v="11.13"/>
    <s v="anakeppe"/>
    <s v="91 a 180"/>
    <s v="ACIONAMENTO"/>
    <x v="0"/>
  </r>
  <r>
    <s v="COGECOM"/>
    <n v="50640400"/>
    <s v="RIDE OLINDINO LUIZ JUNIOR"/>
    <s v="OUT"/>
    <s v="OUTROS"/>
    <n v="69413746915"/>
    <x v="1"/>
    <s v="141.72"/>
    <s v="7.11"/>
    <n v="121"/>
    <s v="NÃO LOCALIZADO"/>
    <s v="TELEFONES SEM ATENDIMENTO"/>
    <n v="9"/>
    <x v="13"/>
    <s v="9.51"/>
    <s v="anakeppe"/>
    <s v="91 a 180"/>
    <s v="ACIONAMENTO"/>
    <x v="0"/>
  </r>
  <r>
    <s v="COGECOM"/>
    <n v="45231127"/>
    <s v="FELIPE COMIRAN CASELLI"/>
    <s v="OUT"/>
    <s v="OUTROS"/>
    <n v="97861324087"/>
    <x v="1"/>
    <s v="17.09"/>
    <s v="2.11"/>
    <n v="120"/>
    <s v="SEM INTERESSE"/>
    <s v="NEGOCIAÇÃO VIA TELEFONE"/>
    <n v="9"/>
    <x v="13"/>
    <s v="15.47"/>
    <s v="anakeppe"/>
    <s v="91 a 180"/>
    <s v="CPC"/>
    <x v="1"/>
  </r>
  <r>
    <s v="COGECOM"/>
    <n v="3085712336"/>
    <s v="SILVANA ALVES PEREIRA"/>
    <s v="OUT"/>
    <s v="OUTROS"/>
    <n v="566762048"/>
    <x v="0"/>
    <s v="297.12"/>
    <s v="208.13"/>
    <n v="116"/>
    <s v="SEM INTERESSE"/>
    <s v="NEGOCIAÇÃO VIA TELEFONE"/>
    <n v="9"/>
    <x v="13"/>
    <s v="13.01"/>
    <s v="gleise"/>
    <s v="91 a 180"/>
    <s v="CPC"/>
    <x v="1"/>
  </r>
  <r>
    <s v="COGECOM"/>
    <n v="3095537895"/>
    <s v="ROBERTA DOS SANTOS CORREA"/>
    <s v="OUT"/>
    <s v="OUTROS"/>
    <n v="1502091003"/>
    <x v="0"/>
    <s v="172.66"/>
    <s v="127.82"/>
    <n v="85"/>
    <s v="NÃO LOCALIZADO"/>
    <s v="TELEFONES SEM ATENDIMENTO"/>
    <n v="9"/>
    <x v="13"/>
    <s v="16.32"/>
    <s v="anne"/>
    <s v="61 a 90"/>
    <s v="ACIONAMENTO"/>
    <x v="0"/>
  </r>
  <r>
    <s v="COGECOM"/>
    <n v="28883500"/>
    <s v="FRANCISCO JOAO DE OLIVEIRA"/>
    <s v="OUT"/>
    <s v="OUTROS"/>
    <n v="32024835953"/>
    <x v="0"/>
    <s v="2440.70"/>
    <s v="895.17"/>
    <n v="185"/>
    <s v="SEM INTERESSE"/>
    <s v="NEGOCIAÇÃO VIA TELEFONE"/>
    <n v="9"/>
    <x v="13"/>
    <s v="15.09"/>
    <s v="gleise"/>
    <s v="181 a 360"/>
    <s v="CPC"/>
    <x v="1"/>
  </r>
  <r>
    <s v="COGECOM"/>
    <n v="3007655931"/>
    <s v="MIRACY SANTOS LIMA"/>
    <s v="OUT"/>
    <s v="OUTROS"/>
    <n v="88394697615"/>
    <x v="0"/>
    <s v="783.44"/>
    <s v="274.81"/>
    <n v="96"/>
    <s v="SEM INTERESSE"/>
    <s v="NEGOCIAÇÃO VIA TELEFONE"/>
    <n v="9"/>
    <x v="13"/>
    <s v="11.26"/>
    <s v="gleise"/>
    <s v="91 a 180"/>
    <s v="CPC"/>
    <x v="1"/>
  </r>
  <r>
    <s v="COGECOM"/>
    <n v="3010960026"/>
    <s v="PRISCILA DE FATIMA ALMEIDA GOMES"/>
    <s v="OUT"/>
    <s v="OUTROS"/>
    <n v="5886787674"/>
    <x v="0"/>
    <s v="277.80"/>
    <s v="58.35"/>
    <n v="129"/>
    <s v="SEM CONDIÇÕES"/>
    <s v="NEGOCIAÇÃO VIA TELEFONE"/>
    <n v="9"/>
    <x v="13"/>
    <s v="13.44"/>
    <s v="anne"/>
    <s v="91 a 180"/>
    <s v="CPC"/>
    <x v="3"/>
  </r>
  <r>
    <s v="COGECOM"/>
    <n v="47628580"/>
    <s v="IBDI ESCOLA DE FORMACAO PROFISSIONAL LTDA"/>
    <s v="OUT"/>
    <s v="OUTROS"/>
    <n v="7473225000104"/>
    <x v="1"/>
    <s v="172.96"/>
    <s v="154.96"/>
    <n v="66"/>
    <s v="ACORDO VIGENTE COLCHÃO EM DIA"/>
    <s v="NEGOCIAÇÃO VIA TELEFONE"/>
    <n v="9"/>
    <x v="13"/>
    <s v="9.08"/>
    <s v="anakeppe"/>
    <s v="61 a 90"/>
    <s v="CPC"/>
    <x v="2"/>
  </r>
  <r>
    <s v="COGECOM"/>
    <n v="45100081"/>
    <s v="LUCIANA DE OLIVEIRA"/>
    <s v="OUT"/>
    <s v="OUTROS"/>
    <n v="1200742737"/>
    <x v="1"/>
    <s v="0.00"/>
    <s v="97.31"/>
    <n v="38"/>
    <s v="ACORDO VIGENTE COLCHÃO EM DIA"/>
    <s v="NEGOCIAÇÃO VIA TELEFONE"/>
    <n v="9"/>
    <x v="13"/>
    <s v="9.04"/>
    <s v="anakeppe"/>
    <s v="31 a 60"/>
    <s v="CPC"/>
    <x v="2"/>
  </r>
  <r>
    <s v="COGECOM"/>
    <n v="1390148248"/>
    <s v="MAUDER ANANIAS REZENDE SOUSA"/>
    <s v="OUT"/>
    <s v="OUTROS"/>
    <n v="58808299104"/>
    <x v="0"/>
    <s v="954.44"/>
    <s v="229.37"/>
    <n v="218"/>
    <s v="NÃO LOCALIZADO"/>
    <s v="TELEFONES SEM ATENDIMENTO"/>
    <n v="16"/>
    <x v="13"/>
    <s v="10.26"/>
    <s v="anakeppe"/>
    <s v="181 a 360"/>
    <s v="ACIONAMENTO"/>
    <x v="0"/>
  </r>
  <r>
    <s v="COGECOM"/>
    <n v="55190260"/>
    <s v="IGOR RAPHAEL LARANJEIRA MANOEL"/>
    <s v="OUT"/>
    <s v="OUTROS"/>
    <n v="6952695931"/>
    <x v="0"/>
    <s v="1411.63"/>
    <s v="291.68"/>
    <n v="151"/>
    <s v="NÃO LOCALIZADO"/>
    <s v="TELEFONES SEM ATENDIMENTO"/>
    <n v="16"/>
    <x v="13"/>
    <s v="10.25"/>
    <s v="anakeppe"/>
    <s v="91 a 180"/>
    <s v="ACIONAMENTO"/>
    <x v="0"/>
  </r>
  <r>
    <s v="COGECOM"/>
    <n v="10013029043"/>
    <s v="AMANDA LAURA QUEIROZ MELO"/>
    <s v="OUT"/>
    <s v="OUTROS"/>
    <n v="5581233179"/>
    <x v="0"/>
    <s v="344.89"/>
    <s v="55.81"/>
    <n v="268"/>
    <m/>
    <s v="SOLICITAR EXTINÇÃO DA AÇÃO"/>
    <n v="9999"/>
    <x v="14"/>
    <s v="13.58"/>
    <s v="anakeppe"/>
    <s v="181 a 360"/>
    <s v="ACIONAMENTO"/>
    <x v="4"/>
  </r>
  <r>
    <s v="COGECOM"/>
    <n v="83426132"/>
    <s v="ANA PAULA VICENTINI"/>
    <s v="OUT"/>
    <s v="OUTROS"/>
    <n v="69983283115"/>
    <x v="0"/>
    <s v="2335.62"/>
    <s v="675.95"/>
    <n v="310"/>
    <s v="NÃO LOCALIZADO"/>
    <s v="TELEFONES SEM ATENDIMENTO"/>
    <n v="12"/>
    <x v="14"/>
    <s v="14.24"/>
    <s v="gleise"/>
    <s v="181 a 360"/>
    <s v="ACIONAMENTO"/>
    <x v="0"/>
  </r>
  <r>
    <s v="COGECOM"/>
    <n v="3013509737"/>
    <s v="BARBARA SUELI RAMOS SERRAO"/>
    <s v="OUT"/>
    <s v="OUTROS"/>
    <n v="3194144693"/>
    <x v="0"/>
    <s v="353.50"/>
    <s v="103.63"/>
    <n v="394"/>
    <s v="EM NEGOCIAÇÃO"/>
    <s v="NEGOCIAÇÃO VIA TELEFONE"/>
    <n v="12"/>
    <x v="14"/>
    <s v="14.04"/>
    <s v="anakeppe"/>
    <s v="Acima de 361"/>
    <s v="CPC"/>
    <x v="2"/>
  </r>
  <r>
    <s v="COGECOM"/>
    <n v="84682396"/>
    <s v="CAIO CESAR MONFRE ANANIAS"/>
    <s v="OUT"/>
    <s v="OUTROS"/>
    <n v="8361658963"/>
    <x v="0"/>
    <s v="29.90"/>
    <s v="29.90"/>
    <n v="440"/>
    <s v="SEM INTERESSE"/>
    <s v="NEGOCIAÇÃO VIA WHATSAPP"/>
    <n v="12"/>
    <x v="14"/>
    <s v="11.38"/>
    <s v="anne"/>
    <s v="Acima de 361"/>
    <s v="CPC"/>
    <x v="1"/>
  </r>
  <r>
    <s v="COGECOM"/>
    <n v="85573884"/>
    <s v="CARLOS EDUARDO DA SILVA"/>
    <s v="OUT"/>
    <s v="OUTROS"/>
    <n v="2885442930"/>
    <x v="0"/>
    <s v="989.05"/>
    <s v="494.91"/>
    <n v="278"/>
    <s v="NÃO LOCALIZADO"/>
    <s v="TELEFONES SEM ATENDIMENTO"/>
    <n v="12"/>
    <x v="14"/>
    <s v="15.51"/>
    <s v="amanda"/>
    <s v="181 a 360"/>
    <s v="ACIONAMENTO"/>
    <x v="0"/>
  </r>
  <r>
    <s v="COGECOM"/>
    <n v="10335468"/>
    <s v="CLEUMAR CALACA"/>
    <s v="OUT"/>
    <s v="OUTROS"/>
    <n v="11769181172"/>
    <x v="0"/>
    <s v="350.16"/>
    <s v="43.25"/>
    <n v="308"/>
    <s v="SEM INTERESSE"/>
    <s v="NEGOCIAÇÃO VIA TELEFONE"/>
    <n v="12"/>
    <x v="14"/>
    <s v="13.56"/>
    <s v="anakeppe"/>
    <s v="181 a 360"/>
    <s v="CPC"/>
    <x v="1"/>
  </r>
  <r>
    <s v="COGECOM"/>
    <n v="3090563790"/>
    <s v="DENISE MOLINARI PINTO"/>
    <s v="OUT"/>
    <s v="OUTROS"/>
    <n v="3500178081"/>
    <x v="0"/>
    <s v="146.17"/>
    <s v="102.85"/>
    <n v="391"/>
    <s v="NÃO LOCALIZADO"/>
    <s v="TELEFONES SEM ATENDIMENTO"/>
    <n v="12"/>
    <x v="14"/>
    <s v="9.11"/>
    <s v="gleise"/>
    <s v="Acima de 361"/>
    <s v="ACIONAMENTO"/>
    <x v="0"/>
  </r>
  <r>
    <s v="COGECOM"/>
    <n v="10024943272"/>
    <s v="DIVINA APARECIDA DA CRUZ"/>
    <s v="OUT"/>
    <s v="OUTROS"/>
    <n v="1380296102"/>
    <x v="0"/>
    <s v="1039.19"/>
    <s v="68.25"/>
    <n v="308"/>
    <s v="NÃO LOCALIZADO"/>
    <s v="TELEFONES SEM ATENDIMENTO"/>
    <n v="12"/>
    <x v="14"/>
    <s v="13.04"/>
    <s v="amanda"/>
    <s v="181 a 360"/>
    <s v="ACIONAMENTO"/>
    <x v="0"/>
  </r>
  <r>
    <s v="COGECOM"/>
    <n v="3081770700"/>
    <s v="ELIZETE DE LIMA PEREIRA"/>
    <s v="OUT"/>
    <s v="OUTROS"/>
    <n v="95137629049"/>
    <x v="0"/>
    <s v="55.66"/>
    <s v="55.66"/>
    <n v="332"/>
    <s v="NÃO LOCALIZADO"/>
    <s v="TELEFONES SEM ATENDIMENTO"/>
    <n v="12"/>
    <x v="14"/>
    <s v="9.19"/>
    <s v="anakeppe"/>
    <s v="181 a 360"/>
    <s v="ACIONAMENTO"/>
    <x v="0"/>
  </r>
  <r>
    <s v="COGECOM"/>
    <n v="10032358138"/>
    <s v="FÁBIO HENRIQUE SANTOS"/>
    <s v="OUT"/>
    <s v="OUTROS"/>
    <n v="69514283104"/>
    <x v="0"/>
    <s v="744.35"/>
    <s v="51.01"/>
    <n v="370"/>
    <s v="NÃO LOCALIZADO"/>
    <s v="TELEFONES SEM ATENDIMENTO"/>
    <n v="12"/>
    <x v="14"/>
    <s v="14.08"/>
    <s v="amanda"/>
    <s v="Acima de 361"/>
    <s v="ACIONAMENTO"/>
    <x v="0"/>
  </r>
  <r>
    <s v="COGECOM"/>
    <n v="3995607"/>
    <s v="FERNANDA FERNEDA DUTRA"/>
    <s v="OUT"/>
    <s v="OUTROS"/>
    <n v="820131954"/>
    <x v="0"/>
    <s v="487.28"/>
    <s v="143.87"/>
    <n v="452"/>
    <s v="NÃO LOCALIZADO"/>
    <s v="TELEFONES SEM ATENDIMENTO"/>
    <n v="12"/>
    <x v="14"/>
    <s v="11.27"/>
    <s v="amanda"/>
    <s v="Acima de 361"/>
    <s v="ACIONAMENTO"/>
    <x v="0"/>
  </r>
  <r>
    <s v="COGECOM"/>
    <n v="10035233913"/>
    <s v="JESSE HENRIQUE FIGUEIREDO CUNHA"/>
    <s v="OUT"/>
    <s v="OUTROS"/>
    <n v="2389782140"/>
    <x v="1"/>
    <s v="0.00"/>
    <s v="21.63"/>
    <n v="185"/>
    <m/>
    <s v="ALTERACAO DEBITO"/>
    <n v="9999"/>
    <x v="14"/>
    <s v="14.14"/>
    <s v="elizabel"/>
    <s v="181 a 360"/>
    <s v="ACIONAMENTO"/>
    <x v="4"/>
  </r>
  <r>
    <s v="COGECOM"/>
    <n v="3007476847"/>
    <s v="JOÃO CARLOS SENA SILVEIRA"/>
    <s v="OUT"/>
    <s v="OUTROS"/>
    <n v="72221305604"/>
    <x v="0"/>
    <s v="392.19"/>
    <s v="109.71"/>
    <n v="343"/>
    <s v="NÃO LOCALIZADO"/>
    <s v="TELEFONES SEM ATENDIMENTO"/>
    <n v="12"/>
    <x v="14"/>
    <s v="11.42"/>
    <s v="amanda"/>
    <s v="181 a 360"/>
    <s v="ACIONAMENTO"/>
    <x v="0"/>
  </r>
  <r>
    <s v="COGECOM"/>
    <n v="27519449"/>
    <s v="KAROLINE DOLINSKI"/>
    <s v="OUT"/>
    <s v="OUTROS"/>
    <n v="3847066900"/>
    <x v="0"/>
    <s v="176.46"/>
    <s v="93.02"/>
    <n v="442"/>
    <s v="NÃO LOCALIZADO"/>
    <s v="TELEFONES SEM ATENDIMENTO"/>
    <n v="12"/>
    <x v="14"/>
    <s v="13.25"/>
    <s v="gleise"/>
    <s v="Acima de 361"/>
    <s v="ACIONAMENTO"/>
    <x v="0"/>
  </r>
  <r>
    <s v="COGECOM"/>
    <n v="3004925450"/>
    <s v="LEANDRO ITAMAR VICENTE"/>
    <s v="OUT"/>
    <s v="OUTROS"/>
    <n v="4143360624"/>
    <x v="0"/>
    <s v="324.43"/>
    <s v="324.43"/>
    <n v="441"/>
    <s v="NÃO LOCALIZADO"/>
    <s v="TELEFONES SEM ATENDIMENTO"/>
    <n v="12"/>
    <x v="14"/>
    <s v="16.15"/>
    <s v="amanda"/>
    <s v="Acima de 361"/>
    <s v="ACIONAMENTO"/>
    <x v="0"/>
  </r>
  <r>
    <s v="COGECOM"/>
    <n v="3000299080"/>
    <s v="LUIZ FAUSTO BATISTA FARIA"/>
    <s v="OUT"/>
    <s v="OUTROS"/>
    <n v="27333930653"/>
    <x v="1"/>
    <s v="0.00"/>
    <s v="169.32"/>
    <n v="443"/>
    <s v="ACORDO VIGENTE COLCHÃO EM DIA"/>
    <s v="ALTERACAO DEBITO"/>
    <n v="15"/>
    <x v="14"/>
    <s v="12.58"/>
    <s v="elizabel"/>
    <s v="Acima de 361"/>
    <s v="ACIONAMENTO"/>
    <x v="2"/>
  </r>
  <r>
    <s v="COGECOM"/>
    <n v="3095574613"/>
    <s v="MARCIO VALENCA COBELLI"/>
    <s v="OUT"/>
    <s v="OUTROS"/>
    <n v="81552688020"/>
    <x v="0"/>
    <s v="620.65"/>
    <s v="219.49"/>
    <n v="210"/>
    <s v="AG RESPOSTA 1º CONTATO"/>
    <s v="ENVIADO MSG/E-MAIL 1º CONTATO"/>
    <n v="12"/>
    <x v="14"/>
    <s v="17.02"/>
    <s v="amanda"/>
    <s v="181 a 360"/>
    <s v="ACIONAMENTO"/>
    <x v="4"/>
  </r>
  <r>
    <s v="COGECOM"/>
    <n v="10711247"/>
    <s v="MARCOS DE ALMEIDA MOURA"/>
    <s v="OUT"/>
    <s v="OUTROS"/>
    <n v="51057026115"/>
    <x v="0"/>
    <s v="415.02"/>
    <s v="48.55"/>
    <n v="219"/>
    <s v="NÃO LOCALIZADO"/>
    <s v="TELEFONES SEM ATENDIMENTO"/>
    <n v="12"/>
    <x v="14"/>
    <s v="13.55"/>
    <s v="gleise"/>
    <s v="181 a 360"/>
    <s v="ACIONAMENTO"/>
    <x v="0"/>
  </r>
  <r>
    <s v="COGECOM"/>
    <n v="106431048"/>
    <s v="MARIA APARECIDA DA SILVA"/>
    <s v="OUT"/>
    <s v="OUTROS"/>
    <n v="3492645976"/>
    <x v="1"/>
    <s v="2519.79"/>
    <s v="492.55"/>
    <n v="243"/>
    <s v="ACORDO VIGENTE COLCHÃO EM DIA"/>
    <s v="ALTERACAO DEBITO"/>
    <n v="12"/>
    <x v="14"/>
    <s v="12.40"/>
    <s v="elizabel"/>
    <s v="181 a 360"/>
    <s v="ACIONAMENTO"/>
    <x v="2"/>
  </r>
  <r>
    <s v="COGECOM"/>
    <n v="10018800740"/>
    <s v="MARIA DE FATIMA CAMPOS"/>
    <s v="OUT"/>
    <s v="OUTROS"/>
    <n v="47085630191"/>
    <x v="0"/>
    <s v="758.70"/>
    <s v="76.91"/>
    <n v="219"/>
    <s v="NÃO LOCALIZADO"/>
    <s v="TELEFONES SEM ATENDIMENTO"/>
    <n v="12"/>
    <x v="14"/>
    <s v="9.18"/>
    <s v="anakeppe"/>
    <s v="181 a 360"/>
    <s v="ACIONAMENTO"/>
    <x v="0"/>
  </r>
  <r>
    <s v="COGECOM"/>
    <n v="13583074"/>
    <s v="MARIA ELEUZA MATIAS FERREIRA"/>
    <s v="OUT"/>
    <s v="OUTROS"/>
    <n v="57580804115"/>
    <x v="0"/>
    <s v="2664.91"/>
    <s v="140.57"/>
    <n v="322"/>
    <s v="SEM INTERESSE"/>
    <s v="NEGOCIAÇÃO VIA TELEFONE"/>
    <n v="12"/>
    <x v="14"/>
    <s v="14.16"/>
    <s v="amanda"/>
    <s v="181 a 360"/>
    <s v="CPC"/>
    <x v="1"/>
  </r>
  <r>
    <s v="COGECOM"/>
    <n v="10006679631"/>
    <s v="OSNI HEINZ JUNIOR"/>
    <s v="OUT"/>
    <s v="OUTROS"/>
    <n v="2650299967"/>
    <x v="1"/>
    <s v="111.03"/>
    <s v="46.15"/>
    <n v="188"/>
    <s v="EM NEGOCIAÇÃO"/>
    <s v="SOLICITAR EXTINÇÃO DA AÇÃO"/>
    <n v="12"/>
    <x v="14"/>
    <s v="14.15"/>
    <s v="anne"/>
    <s v="181 a 360"/>
    <s v="ACIONAMENTO"/>
    <x v="2"/>
  </r>
  <r>
    <s v="COGECOM"/>
    <n v="51441907"/>
    <s v="PEDRO PAULO SIMAS FILHO"/>
    <s v="OUT"/>
    <s v="OUTROS"/>
    <n v="4296721950"/>
    <x v="0"/>
    <s v="665.61"/>
    <s v="592.91"/>
    <n v="207"/>
    <s v="SEM INTERESSE"/>
    <s v="SEM INTERESSE"/>
    <n v="12"/>
    <x v="14"/>
    <s v="16.18"/>
    <s v="amanda"/>
    <s v="181 a 360"/>
    <s v="CPC"/>
    <x v="1"/>
  </r>
  <r>
    <s v="COGECOM"/>
    <n v="10014125925"/>
    <s v="REILTA DE OLIVEIRA MAIA SANTOS"/>
    <s v="OUT"/>
    <s v="OUTROS"/>
    <n v="3560463467"/>
    <x v="0"/>
    <s v="1180.43"/>
    <s v="213.51"/>
    <n v="370"/>
    <s v="SEM INTERESSE"/>
    <s v="NEGOCIAÇÃO VIA TELEFONE"/>
    <n v="12"/>
    <x v="14"/>
    <s v="10.48"/>
    <s v="amanda"/>
    <s v="Acima de 361"/>
    <s v="CPC"/>
    <x v="1"/>
  </r>
  <r>
    <s v="COGECOM"/>
    <n v="10024831679"/>
    <s v="RONALDO PEREIRA"/>
    <s v="OUT"/>
    <s v="OUTROS"/>
    <n v="1772855162"/>
    <x v="0"/>
    <s v="152.42"/>
    <s v="29.47"/>
    <n v="222"/>
    <s v="AG RESPOSTA 1º CONTATO"/>
    <s v="ENVIADO MSG/E-MAIL 1º CONTATO"/>
    <n v="12"/>
    <x v="14"/>
    <s v="9.54"/>
    <s v="amanda"/>
    <s v="181 a 360"/>
    <s v="ACIONAMENTO"/>
    <x v="4"/>
  </r>
  <r>
    <s v="COGECOM"/>
    <n v="10002698666"/>
    <s v="THAMIRES NUNES RIBEIRO"/>
    <s v="OUT"/>
    <s v="OUTROS"/>
    <n v="3954707144"/>
    <x v="0"/>
    <s v="1521.45"/>
    <s v="364.09"/>
    <n v="361"/>
    <s v="NÃO LOCALIZADO"/>
    <s v="TELEFONES SEM ATENDIMENTO"/>
    <n v="12"/>
    <x v="14"/>
    <s v="16.12"/>
    <s v="amanda"/>
    <s v="Acima de 361"/>
    <s v="ACIONAMENTO"/>
    <x v="0"/>
  </r>
  <r>
    <s v="COGECOM"/>
    <n v="10008018330"/>
    <s v="VANDERLEI SILVA SOUZA"/>
    <s v="OUT"/>
    <s v="OUTROS"/>
    <n v="58540164"/>
    <x v="0"/>
    <s v="284.87"/>
    <s v="46.15"/>
    <n v="175"/>
    <s v="NÃO LOCALIZADO"/>
    <s v="TELEFONES SEM ATENDIMENTO"/>
    <n v="12"/>
    <x v="14"/>
    <s v="11.26"/>
    <s v="anakeppe"/>
    <s v="91 a 180"/>
    <s v="ACIONAMENTO"/>
    <x v="0"/>
  </r>
  <r>
    <s v="COGECOM"/>
    <n v="13478771"/>
    <s v="WANDERSON RIBEIRO MENDES"/>
    <s v="OUT"/>
    <s v="OUTROS"/>
    <n v="82082472191"/>
    <x v="0"/>
    <s v="613.99"/>
    <s v="166.58"/>
    <n v="205"/>
    <s v="NÃO LOCALIZADO"/>
    <s v="TELEFONES SEM ATENDIMENTO"/>
    <n v="12"/>
    <x v="14"/>
    <s v="11.06"/>
    <s v="amanda"/>
    <s v="181 a 360"/>
    <s v="ACIONAMENTO"/>
    <x v="0"/>
  </r>
  <r>
    <s v="COGECOM"/>
    <n v="4002443939"/>
    <s v="SUELEN FERREIRA OLIVEIRA"/>
    <s v="OUT"/>
    <s v="OUTROS"/>
    <n v="2341511023"/>
    <x v="1"/>
    <s v="0.00"/>
    <s v="273.00"/>
    <n v="226"/>
    <s v="NÃO LOCALIZADO"/>
    <s v="TELEFONES SEM ATENDIMENTO"/>
    <n v="12"/>
    <x v="14"/>
    <s v="11.20"/>
    <s v="gleise"/>
    <s v="181 a 360"/>
    <s v="ACIONAMENTO"/>
    <x v="0"/>
  </r>
  <r>
    <s v="COGECOM"/>
    <n v="10035592174"/>
    <s v="JOSEMAR PEREIRA DA SILVA"/>
    <s v="OUT"/>
    <s v="OUTROS"/>
    <n v="2223142141"/>
    <x v="0"/>
    <s v="323.56"/>
    <s v="132.20"/>
    <n v="172"/>
    <s v="NÃO LOCALIZADO"/>
    <s v="TELEFONES SEM ATENDIMENTO"/>
    <n v="12"/>
    <x v="14"/>
    <s v="11.28"/>
    <s v="amanda"/>
    <s v="91 a 180"/>
    <s v="ACIONAMENTO"/>
    <x v="0"/>
  </r>
  <r>
    <s v="COGECOM"/>
    <n v="3091424509"/>
    <s v="CRISTIAN SOUZA MORALES"/>
    <s v="OUT"/>
    <s v="OUTROS"/>
    <n v="801378060"/>
    <x v="1"/>
    <s v="688.82"/>
    <s v="406.20"/>
    <n v="298"/>
    <s v="EM NEGOCIAÇÃO"/>
    <s v="NEGOCIAÇÃO VIA WHATSAPP"/>
    <n v="12"/>
    <x v="14"/>
    <s v="13.29"/>
    <s v="amanda"/>
    <s v="181 a 360"/>
    <s v="CPC"/>
    <x v="2"/>
  </r>
  <r>
    <s v="COGECOM"/>
    <n v="63429969"/>
    <s v="JAIR MARINO PACCI"/>
    <s v="OUT"/>
    <s v="OUTROS"/>
    <n v="50216090920"/>
    <x v="1"/>
    <s v="471.19"/>
    <s v="471.19"/>
    <n v="153"/>
    <s v="SEM INTERESSE"/>
    <s v="NEGOCIAÇÃO VIA TELEFONE"/>
    <n v="12"/>
    <x v="14"/>
    <s v="14.31"/>
    <s v="gleise"/>
    <s v="91 a 180"/>
    <s v="CPC"/>
    <x v="1"/>
  </r>
  <r>
    <s v="COGECOM"/>
    <n v="3014031487"/>
    <s v="RODRIGO SANTOS ALVES"/>
    <s v="OUT"/>
    <s v="OUTROS"/>
    <n v="7359576652"/>
    <x v="0"/>
    <s v="258.50"/>
    <s v="49.78"/>
    <n v="153"/>
    <s v="SEM INTERESSE"/>
    <s v="NEGOCIAÇÃO VIA TELEFONE"/>
    <n v="12"/>
    <x v="14"/>
    <s v="15.36"/>
    <s v="amanda"/>
    <s v="91 a 180"/>
    <s v="CPC"/>
    <x v="1"/>
  </r>
  <r>
    <s v="COGECOM"/>
    <n v="13285610"/>
    <s v="EDIVALDO MARTINS DE ARAUJO"/>
    <s v="OUT"/>
    <s v="OUTROS"/>
    <n v="11855965852"/>
    <x v="0"/>
    <s v="765.85"/>
    <s v="391.46"/>
    <n v="119"/>
    <s v="NÃO LOCALIZADO"/>
    <s v="TELEFONES SEM ATENDIMENTO"/>
    <n v="12"/>
    <x v="14"/>
    <s v="10.44"/>
    <s v="anakeppe"/>
    <s v="91 a 180"/>
    <s v="ACIONAMENTO"/>
    <x v="0"/>
  </r>
  <r>
    <s v="COGECOM"/>
    <n v="73082066"/>
    <s v="LUIS FERNANDES DA  CUNHA"/>
    <s v="OUT"/>
    <s v="OUTROS"/>
    <n v="42908159953"/>
    <x v="1"/>
    <s v="769.49"/>
    <s v="317.25"/>
    <n v="130"/>
    <s v="AG RESPOSTA 1º CONTATO"/>
    <s v="ENVIADO MSG/E-MAIL 1º CONTATO"/>
    <n v="12"/>
    <x v="14"/>
    <s v="9.48"/>
    <s v="amanda"/>
    <s v="91 a 180"/>
    <s v="ACIONAMENTO"/>
    <x v="4"/>
  </r>
  <r>
    <s v="COGECOM"/>
    <n v="43889115"/>
    <s v="ANDERSON LUIZ SANTOS PEDROSO"/>
    <s v="OUT"/>
    <s v="OUTROS"/>
    <n v="2592833986"/>
    <x v="1"/>
    <s v="97.48"/>
    <s v="148.77"/>
    <n v="141"/>
    <s v="ACORDO VIGENTE COLCHÃO EM DIA"/>
    <s v="ALTERACAO DEBITO"/>
    <n v="13"/>
    <x v="14"/>
    <s v="12.39"/>
    <s v="elizabel"/>
    <s v="91 a 180"/>
    <s v="ACIONAMENTO"/>
    <x v="2"/>
  </r>
  <r>
    <s v="COGECOM"/>
    <n v="100603580"/>
    <s v="CINTIA CARLA PAINTNER"/>
    <s v="OUT"/>
    <s v="OUTROS"/>
    <n v="90345339991"/>
    <x v="1"/>
    <s v="95.35"/>
    <s v="133.27"/>
    <n v="126"/>
    <s v="EM NEGOCIAÇÃO"/>
    <s v="NEGOCIAÇÃO VIA WHATSAPP"/>
    <n v="12"/>
    <x v="14"/>
    <s v="10.38"/>
    <s v="anakeppe"/>
    <s v="91 a 180"/>
    <s v="CPC"/>
    <x v="2"/>
  </r>
  <r>
    <s v="COGECOM"/>
    <n v="3004562953"/>
    <s v="EUNICE MARIA DOS ANJOS TIBURCIO"/>
    <s v="OUT"/>
    <s v="OUTROS"/>
    <n v="66963630682"/>
    <x v="1"/>
    <s v="0.00"/>
    <s v="76.68"/>
    <n v="119"/>
    <s v="SEM INTERESSE"/>
    <s v="NEGOCIAÇÃO VIA TELEFONE"/>
    <n v="12"/>
    <x v="14"/>
    <s v="11.50"/>
    <s v="amanda"/>
    <s v="91 a 180"/>
    <s v="CPC"/>
    <x v="1"/>
  </r>
  <r>
    <s v="COGECOM"/>
    <n v="10009749240"/>
    <s v="APARECIDO BELARMINO DE SOUSA"/>
    <s v="OUT"/>
    <s v="OUTROS"/>
    <n v="85572268100"/>
    <x v="0"/>
    <s v="74.68"/>
    <s v="74.68"/>
    <n v="143"/>
    <s v="NÃO LOCALIZADO"/>
    <s v="TELEFONES SEM ATENDIMENTO"/>
    <n v="12"/>
    <x v="14"/>
    <s v="13.40"/>
    <s v="gleise"/>
    <s v="91 a 180"/>
    <s v="ACIONAMENTO"/>
    <x v="0"/>
  </r>
  <r>
    <s v="COGECOM"/>
    <n v="10564721"/>
    <s v="CARLOS ROBERTO SARTORI CORONA"/>
    <s v="OUT"/>
    <s v="OUTROS"/>
    <n v="16804325915"/>
    <x v="0"/>
    <s v="766.74"/>
    <s v="192.26"/>
    <n v="95"/>
    <s v="NÃO LOCALIZADO"/>
    <s v="SOLICITAR EXTINÇÃO DA AÇÃO"/>
    <n v="12"/>
    <x v="14"/>
    <s v="14.33"/>
    <s v="anakeppe"/>
    <s v="91 a 180"/>
    <s v="ACIONAMENTO"/>
    <x v="0"/>
  </r>
  <r>
    <s v="COGECOM"/>
    <n v="50266390"/>
    <s v="ROSINEIA ANA CANDIDO"/>
    <s v="OUT"/>
    <s v="OUTROS"/>
    <n v="33316288830"/>
    <x v="0"/>
    <s v="641.37"/>
    <s v="336.56"/>
    <n v="96"/>
    <s v="NÃO LOCALIZADO"/>
    <s v="TELEFONES SEM ATENDIMENTO"/>
    <n v="12"/>
    <x v="14"/>
    <s v="16.14"/>
    <s v="amanda"/>
    <s v="91 a 180"/>
    <s v="ACIONAMENTO"/>
    <x v="0"/>
  </r>
  <r>
    <s v="COGECOM"/>
    <n v="3001050949"/>
    <s v="LETICIA MARQUES DE OLIVEIRA SILVA"/>
    <s v="OUT"/>
    <s v="OUTROS"/>
    <n v="84265868649"/>
    <x v="1"/>
    <s v="34.49"/>
    <s v="29.08"/>
    <n v="86"/>
    <s v="EM NEGOCIAÇÃO"/>
    <s v="NEGOCIAÇÃO VIA TELEFONE"/>
    <n v="12"/>
    <x v="14"/>
    <s v="14.44"/>
    <s v="gleise"/>
    <s v="61 a 90"/>
    <s v="CPC"/>
    <x v="2"/>
  </r>
  <r>
    <s v="COGECOM"/>
    <n v="105448028"/>
    <s v="MARCOS VINÍCIUS MARSCHALK"/>
    <s v="OUT"/>
    <s v="OUTROS"/>
    <n v="5463355940"/>
    <x v="1"/>
    <s v="0.00"/>
    <s v="1370.71"/>
    <n v="149"/>
    <s v="EM NEGOCIAÇÃO"/>
    <s v="ALTERACAO DEBITO"/>
    <n v="13"/>
    <x v="14"/>
    <s v="12.46"/>
    <s v="elizabel"/>
    <s v="91 a 180"/>
    <s v="ACIONAMENTO"/>
    <x v="2"/>
  </r>
  <r>
    <s v="COGECOM"/>
    <n v="10002980779"/>
    <s v="VILANIR PEREIRA BARRA"/>
    <s v="OUT"/>
    <s v="OUTROS"/>
    <n v="70809062100"/>
    <x v="0"/>
    <s v="134.82"/>
    <s v="46.92"/>
    <n v="120"/>
    <m/>
    <s v="SOLICITAR EXTINÇÃO DA AÇÃO"/>
    <n v="9999"/>
    <x v="14"/>
    <s v="15.51"/>
    <s v="anakeppe"/>
    <s v="91 a 180"/>
    <s v="ACIONAMENTO"/>
    <x v="4"/>
  </r>
  <r>
    <s v="COGECOM"/>
    <n v="6967639"/>
    <s v="ADRIANA GARCIA MADRUGA"/>
    <s v="OUT"/>
    <s v="OUTROS"/>
    <n v="57642400004"/>
    <x v="1"/>
    <s v="234.92"/>
    <s v="2.11"/>
    <n v="115"/>
    <s v="SEM INTERESSE"/>
    <s v="NEGOCIAÇÃO VIA TELEFONE"/>
    <n v="12"/>
    <x v="14"/>
    <s v="15.47"/>
    <s v="gleise"/>
    <s v="91 a 180"/>
    <s v="CPC"/>
    <x v="1"/>
  </r>
  <r>
    <s v="COGECOM"/>
    <n v="3010480081"/>
    <s v="ADILSON MARQUES DOS SANTOS"/>
    <s v="OUT"/>
    <s v="OUTROS"/>
    <n v="2727432674"/>
    <x v="1"/>
    <s v="0.00"/>
    <s v="112.71"/>
    <n v="81"/>
    <s v="EM NEGOCIAÇÃO"/>
    <s v="ALTERACAO DEBITO"/>
    <n v="15"/>
    <x v="14"/>
    <s v="14.16"/>
    <s v="elizabel"/>
    <s v="61 a 90"/>
    <s v="ACIONAMENTO"/>
    <x v="2"/>
  </r>
  <r>
    <s v="COGECOM"/>
    <n v="49949138"/>
    <s v="JAMES FARACO AMORIM"/>
    <s v="OUT"/>
    <s v="OUTROS"/>
    <n v="46398791991"/>
    <x v="1"/>
    <s v="294.26"/>
    <s v="424.07"/>
    <n v="66"/>
    <s v="NÃO LOCALIZADO"/>
    <s v="TELEFONES SEM ATENDIMENTO"/>
    <n v="12"/>
    <x v="14"/>
    <s v="13.44"/>
    <s v="anakeppe"/>
    <s v="61 a 90"/>
    <s v="ACIONAMENTO"/>
    <x v="0"/>
  </r>
  <r>
    <s v="COGECOM"/>
    <n v="53601480"/>
    <s v="JEAN LUCAS LOPES WILLES"/>
    <s v="OUT"/>
    <s v="OUTROS"/>
    <n v="835753085"/>
    <x v="1"/>
    <s v="83.47"/>
    <s v="114.01"/>
    <n v="66"/>
    <s v="EM NEGOCIAÇÃO"/>
    <s v="NEGOCIAÇÃO VIA TELEFONE"/>
    <n v="12"/>
    <x v="14"/>
    <s v="14.50"/>
    <s v="amanda"/>
    <s v="61 a 90"/>
    <s v="CPC"/>
    <x v="2"/>
  </r>
  <r>
    <s v="COGECOM"/>
    <n v="76751902"/>
    <s v="LUIZ FERNANDO DE SOUSA FREDERICO"/>
    <s v="OUT"/>
    <s v="OUTROS"/>
    <n v="28865442808"/>
    <x v="1"/>
    <s v="0.00"/>
    <s v="106.82"/>
    <n v="65"/>
    <s v="SEM INTERESSE"/>
    <s v="ALTERACAO DEBITO"/>
    <n v="27"/>
    <x v="14"/>
    <s v="12.47"/>
    <s v="elizabel"/>
    <s v="61 a 90"/>
    <s v="ACIONAMENTO"/>
    <x v="1"/>
  </r>
  <r>
    <s v="COGECOM"/>
    <n v="10010793877"/>
    <s v="REINALDO CHAVES DOS SANTOS"/>
    <s v="OUT"/>
    <s v="OUTROS"/>
    <n v="80298591120"/>
    <x v="1"/>
    <s v="0.00"/>
    <s v="100.46"/>
    <n v="70"/>
    <s v="ACORDO VIGENTE COLCHÃO EM DIA"/>
    <s v="ALTERACAO DEBITO"/>
    <n v="13"/>
    <x v="14"/>
    <s v="12.40"/>
    <s v="elizabel"/>
    <s v="61 a 90"/>
    <s v="ACIONAMENTO"/>
    <x v="2"/>
  </r>
  <r>
    <s v="COGECOM"/>
    <n v="31993113"/>
    <s v="ZENILDE EDITE PEREIRA"/>
    <s v="OUT"/>
    <s v="OUTROS"/>
    <n v="61369004915"/>
    <x v="1"/>
    <s v="0.00"/>
    <s v="151.10"/>
    <n v="66"/>
    <s v="SEM INTERESSE"/>
    <s v="NEGOCIAÇÃO VIA TELEFONE"/>
    <n v="12"/>
    <x v="14"/>
    <s v="14.58"/>
    <s v="gleise"/>
    <s v="61 a 90"/>
    <s v="CPC"/>
    <x v="1"/>
  </r>
  <r>
    <s v="COGECOM"/>
    <n v="51907515"/>
    <s v="CAROLINE MARIA STEFANI"/>
    <s v="OUT"/>
    <s v="OUTROS"/>
    <n v="90797612904"/>
    <x v="1"/>
    <s v="0.00"/>
    <s v="86.57"/>
    <n v="62"/>
    <s v="SEM INTERESSE"/>
    <s v="NEGOCIAÇÃO VIA TELEFONE"/>
    <n v="12"/>
    <x v="14"/>
    <s v="15.02"/>
    <s v="anne"/>
    <s v="61 a 90"/>
    <s v="CPC"/>
    <x v="1"/>
  </r>
  <r>
    <s v="COGECOM"/>
    <n v="20984448"/>
    <s v="RUY DALCOL DA ROCHA LOURES"/>
    <s v="OUT"/>
    <s v="OUTROS"/>
    <n v="59637234772"/>
    <x v="1"/>
    <s v="409.38"/>
    <s v="369.89"/>
    <n v="44"/>
    <s v="ACORDO VIGENTE COLCHÃO EM DIA"/>
    <s v="NEGOCIAÇÃO VIA WHATSAPP"/>
    <n v="12"/>
    <x v="14"/>
    <s v="13.36"/>
    <s v="amanda"/>
    <s v="31 a 60"/>
    <s v="CPC"/>
    <x v="2"/>
  </r>
  <r>
    <s v="COGECOM"/>
    <n v="3000486516"/>
    <s v="DOUGLAS GUERRA DE SOUZA"/>
    <s v="OUT"/>
    <s v="OUTROS"/>
    <n v="8529178645"/>
    <x v="0"/>
    <s v="44.11"/>
    <s v="44.11"/>
    <n v="43"/>
    <s v="SEM INTERESSE"/>
    <s v="NEGOCIAÇÃO VIA TELEFONE"/>
    <n v="12"/>
    <x v="14"/>
    <s v="14.41"/>
    <s v="amanda"/>
    <s v="31 a 60"/>
    <s v="CPC"/>
    <x v="1"/>
  </r>
  <r>
    <s v="COGECOM"/>
    <n v="3011836426"/>
    <s v="LIZANDRA RODRIGUES"/>
    <s v="OUT"/>
    <s v="OUTROS"/>
    <n v="416079610"/>
    <x v="0"/>
    <s v="253.11"/>
    <s v="119.34"/>
    <n v="43"/>
    <s v="EM NEGOCIAÇÃO"/>
    <s v="NEGOCIAÇÃO VIA TELEFONE"/>
    <n v="12"/>
    <x v="14"/>
    <s v="15.36"/>
    <s v="anne"/>
    <s v="31 a 60"/>
    <s v="CPC"/>
    <x v="2"/>
  </r>
  <r>
    <s v="COGECOM"/>
    <n v="4002226855"/>
    <s v="RAFAEL DE FREITAS"/>
    <s v="OUT"/>
    <s v="OUTROS"/>
    <n v="33457098808"/>
    <x v="0"/>
    <s v="254.07"/>
    <s v="254.07"/>
    <n v="79"/>
    <s v="SEM INTERESSE"/>
    <s v="NEGOCIAÇÃO VIA TELEFONE"/>
    <n v="12"/>
    <x v="14"/>
    <s v="15.13"/>
    <s v="gleise"/>
    <s v="61 a 90"/>
    <s v="CPC"/>
    <x v="1"/>
  </r>
  <r>
    <s v="COGECOM"/>
    <n v="26265380"/>
    <s v="CLAUDIONEI DA SILVA PIRES"/>
    <s v="OUT"/>
    <s v="OUTROS"/>
    <n v="84587296953"/>
    <x v="1"/>
    <s v="0.00"/>
    <s v="62.23"/>
    <n v="38"/>
    <s v="ACORDO VIGENTE COLCHÃO EM DIA"/>
    <s v="NEGOCIAÇÃO VIA TELEFONE"/>
    <n v="12"/>
    <x v="14"/>
    <s v="15.19"/>
    <s v="anakeppe"/>
    <s v="31 a 60"/>
    <s v="CPC"/>
    <x v="2"/>
  </r>
  <r>
    <s v="COGECOM"/>
    <n v="20223146"/>
    <s v="EDGAR LUIZ GONCALVES MACHADO"/>
    <s v="OUT"/>
    <s v="OUTROS"/>
    <n v="1100528709"/>
    <x v="1"/>
    <s v="0.00"/>
    <s v="79.79"/>
    <n v="34"/>
    <s v="SEM INTERESSE"/>
    <s v="NEGOCIAÇÃO VIA TELEFONE"/>
    <n v="12"/>
    <x v="14"/>
    <s v="15.19"/>
    <s v="gleise"/>
    <s v="31 a 60"/>
    <s v="CPC"/>
    <x v="1"/>
  </r>
  <r>
    <s v="COGECOM"/>
    <n v="42495751"/>
    <s v="ALEXSANDRO RIBEIRO MARTINS"/>
    <s v="OUT"/>
    <s v="OUTROS"/>
    <n v="775325970"/>
    <x v="1"/>
    <s v="0.00"/>
    <s v="162.33"/>
    <n v="34"/>
    <s v="ACORDO VIGENTE COLCHÃO EM DIA"/>
    <s v="NEGOCIAÇÃO VIA TELEFONE"/>
    <n v="12"/>
    <x v="14"/>
    <s v="15.56"/>
    <s v="anakeppe"/>
    <s v="31 a 60"/>
    <s v="CPC"/>
    <x v="2"/>
  </r>
  <r>
    <s v="COGECOM"/>
    <n v="49184440"/>
    <s v="ALEXANDRE DALL ONDER"/>
    <s v="OUT"/>
    <s v="OUTROS"/>
    <n v="82407452968"/>
    <x v="1"/>
    <s v="0.00"/>
    <s v="398.42"/>
    <n v="39"/>
    <m/>
    <s v="ALTERACAO DEBITO"/>
    <n v="9999"/>
    <x v="14"/>
    <s v="12.55"/>
    <s v="elizabel"/>
    <s v="31 a 60"/>
    <s v="ACIONAMENTO"/>
    <x v="4"/>
  </r>
  <r>
    <s v="COGECOM"/>
    <n v="103665722"/>
    <s v="RAFAEL DOS SANTOS CHERATO"/>
    <s v="OUT"/>
    <s v="OUTROS"/>
    <n v="8914292983"/>
    <x v="1"/>
    <s v="0.00"/>
    <s v="105.62"/>
    <n v="38"/>
    <m/>
    <s v="ALTERACAO DEBITO"/>
    <n v="9999"/>
    <x v="14"/>
    <s v="12.47"/>
    <s v="elizabel"/>
    <s v="31 a 60"/>
    <s v="ACIONAMENTO"/>
    <x v="4"/>
  </r>
  <r>
    <s v="COGECOM"/>
    <n v="3000880132"/>
    <s v="MARINILDA RODRIGUES CARNEIRO"/>
    <s v="OUT"/>
    <s v="OUTROS"/>
    <n v="3935889631"/>
    <x v="1"/>
    <s v="0.00"/>
    <s v="76.67"/>
    <n v="34"/>
    <s v="ACORDO VIGENTE COLCHÃO EM DIA"/>
    <s v="NEGOCIAÇÃO VIA WHATSAPP"/>
    <n v="12"/>
    <x v="14"/>
    <s v="9.18"/>
    <s v="amanda"/>
    <s v="31 a 60"/>
    <s v="CPC"/>
    <x v="2"/>
  </r>
  <r>
    <s v="COGECOM"/>
    <n v="10490978"/>
    <s v="NATHALIA BRENNER ZULIAN"/>
    <s v="OUT"/>
    <s v="OUTROS"/>
    <n v="34500339809"/>
    <x v="0"/>
    <s v="2151.02"/>
    <s v="138.44"/>
    <n v="209"/>
    <s v="NÃO LOCALIZADO"/>
    <s v="TELEFONES SEM ATENDIMENTO"/>
    <n v="19"/>
    <x v="14"/>
    <s v="9.15"/>
    <s v="anakeppe"/>
    <s v="181 a 360"/>
    <s v="ACIONAMENTO"/>
    <x v="0"/>
  </r>
  <r>
    <s v="COGECOM"/>
    <n v="3095015435"/>
    <s v="CRISTIAN SOUZA MORALES"/>
    <s v="OUT"/>
    <s v="OUTROS"/>
    <n v="801378060"/>
    <x v="1"/>
    <s v="0.00"/>
    <s v="31.61"/>
    <n v="57"/>
    <s v="AG RESPOSTA 1º CONTATO"/>
    <s v="ENVIADO MSG/E-MAIL 1º CONTATO"/>
    <n v="19"/>
    <x v="14"/>
    <s v="13.22"/>
    <s v="amanda"/>
    <s v="31 a 60"/>
    <s v="ACIONAMENTO"/>
    <x v="4"/>
  </r>
  <r>
    <s v="COGECOM"/>
    <n v="20075649"/>
    <s v="AMIR IZZAT BITAR"/>
    <s v="OUT"/>
    <s v="OUTROS"/>
    <n v="10083944168"/>
    <x v="0"/>
    <s v="548.32"/>
    <s v="458.09"/>
    <n v="197"/>
    <s v="NÃO LOCALIZADO"/>
    <s v="TELEFONES SEM ATENDIMENTO"/>
    <n v="13"/>
    <x v="15"/>
    <s v="10.41"/>
    <s v="gleise"/>
    <s v="181 a 360"/>
    <s v="ACIONAMENTO"/>
    <x v="0"/>
  </r>
  <r>
    <s v="COGECOM"/>
    <n v="7453787"/>
    <s v="ANA PAULA AVELINO"/>
    <s v="OUT"/>
    <s v="OUTROS"/>
    <n v="5940266959"/>
    <x v="0"/>
    <s v="101.86"/>
    <s v="37.68"/>
    <n v="433"/>
    <s v="AG RESPOSTA 1º CONTATO"/>
    <s v="ENVIADO MSG/E-MAIL 1º CONTATO"/>
    <n v="13"/>
    <x v="15"/>
    <s v="11.28"/>
    <s v="amanda"/>
    <s v="Acima de 361"/>
    <s v="ACIONAMENTO"/>
    <x v="4"/>
  </r>
  <r>
    <s v="COGECOM"/>
    <n v="33442487"/>
    <s v="DOUGLAS SCHAEFFER SALVADOR"/>
    <s v="OUT"/>
    <s v="OUTROS"/>
    <n v="2125240971"/>
    <x v="1"/>
    <s v="0.00"/>
    <s v="877.40"/>
    <n v="186"/>
    <s v="NÃO LOCALIZADO"/>
    <s v="TELEFONES SEM ATENDIMENTO"/>
    <n v="13"/>
    <x v="15"/>
    <s v="16.43"/>
    <s v="gleise"/>
    <s v="181 a 360"/>
    <s v="ACIONAMENTO"/>
    <x v="0"/>
  </r>
  <r>
    <s v="COGECOM"/>
    <n v="10023775732"/>
    <s v="MARCELO GOMES DE FREITAS"/>
    <s v="OUT"/>
    <s v="OUTROS"/>
    <n v="36932051168"/>
    <x v="0"/>
    <s v="306.99"/>
    <s v="37.44"/>
    <n v="341"/>
    <s v="SEM INTERESSE"/>
    <s v="NEGOCIAÇÃO VIA TELEFONE"/>
    <n v="13"/>
    <x v="15"/>
    <s v="15.45"/>
    <s v="gleise"/>
    <s v="181 a 360"/>
    <s v="CPC"/>
    <x v="1"/>
  </r>
  <r>
    <s v="COGECOM"/>
    <n v="3085161292"/>
    <s v="MARMOZAN COMÉRCIO DE GRANITOS E MÁRMORES LTDA"/>
    <s v="OUT"/>
    <s v="OUTROS"/>
    <n v="91031260000180"/>
    <x v="1"/>
    <s v="1843.45"/>
    <s v="1106.61"/>
    <n v="546"/>
    <s v="AG RESPOSTA 1º CONTATO"/>
    <s v="ENVIADO MSG/E-MAIL 1º CONTATO"/>
    <n v="13"/>
    <x v="15"/>
    <s v="9.40"/>
    <s v="amanda"/>
    <s v="Acima de 361"/>
    <s v="ACIONAMENTO"/>
    <x v="4"/>
  </r>
  <r>
    <s v="COGECOM"/>
    <n v="3085648687"/>
    <s v="RAFAEL SOARES FERREIRA"/>
    <s v="OUT"/>
    <s v="OUTROS"/>
    <n v="3832507221"/>
    <x v="1"/>
    <s v="479.23"/>
    <s v="90.34"/>
    <n v="346"/>
    <s v="NÃO LOCALIZADO"/>
    <s v="TELEFONES SEM ATENDIMENTO"/>
    <n v="13"/>
    <x v="15"/>
    <s v="14.34"/>
    <s v="anne"/>
    <s v="181 a 360"/>
    <s v="ACIONAMENTO"/>
    <x v="0"/>
  </r>
  <r>
    <s v="COGECOM"/>
    <n v="81971508"/>
    <s v="RANDALL PROENCA ANDRADE"/>
    <s v="OUT"/>
    <s v="OUTROS"/>
    <n v="2473272980"/>
    <x v="1"/>
    <s v="0.00"/>
    <s v="719.22"/>
    <n v="205"/>
    <s v="ACORDO VIGENTE COLCHÃO EM DIA"/>
    <s v="ALTERACAO DEBITO"/>
    <n v="16"/>
    <x v="15"/>
    <s v="12.53"/>
    <s v="elizabel"/>
    <s v="181 a 360"/>
    <s v="ACIONAMENTO"/>
    <x v="2"/>
  </r>
  <r>
    <s v="COGECOM"/>
    <n v="195162"/>
    <s v="RESTAURANTE PERTUTTI LTDA"/>
    <s v="OUT"/>
    <s v="OUTROS"/>
    <n v="83850768000181"/>
    <x v="1"/>
    <s v="0.00"/>
    <s v="55.58"/>
    <n v="572"/>
    <s v="SEM INTERESSE"/>
    <s v="ALTERACAO DEBITO"/>
    <n v="28"/>
    <x v="15"/>
    <s v="12.56"/>
    <s v="elizabel"/>
    <s v="Acima de 361"/>
    <s v="ACIONAMENTO"/>
    <x v="1"/>
  </r>
  <r>
    <s v="COGECOM"/>
    <n v="55170703"/>
    <s v="RICARDO ROSA PACHECO"/>
    <s v="OUT"/>
    <s v="OUTROS"/>
    <n v="2571370928"/>
    <x v="1"/>
    <s v="0.00"/>
    <s v="284.48"/>
    <n v="158"/>
    <s v="ACORDO VIGENTE COLCHÃO EM DIA"/>
    <s v="NEGOCIAÇÃO VIA TELEFONE"/>
    <n v="13"/>
    <x v="15"/>
    <s v="15.29"/>
    <s v="amanda"/>
    <s v="91 a 180"/>
    <s v="CPC"/>
    <x v="2"/>
  </r>
  <r>
    <s v="COGECOM"/>
    <n v="140651"/>
    <s v="SERGIO CARLOS RISTOW"/>
    <s v="OUT"/>
    <s v="OUTROS"/>
    <n v="47779128920"/>
    <x v="1"/>
    <s v="0.00"/>
    <s v="351.17"/>
    <n v="605"/>
    <s v="SEM INTERESSE"/>
    <s v="NEGOCIAÇÃO VIA TELEFONE"/>
    <n v="13"/>
    <x v="15"/>
    <s v="14.08"/>
    <s v="amanda"/>
    <s v="Acima de 361"/>
    <s v="CPC"/>
    <x v="1"/>
  </r>
  <r>
    <s v="COGECOM"/>
    <n v="3001463311"/>
    <s v="ULISSES DE SOUZA ARAUJO"/>
    <s v="OUT"/>
    <s v="OUTROS"/>
    <n v="51964716691"/>
    <x v="1"/>
    <s v="803.66"/>
    <s v="242.42"/>
    <n v="189"/>
    <s v="EM NEGOCIAÇÃO"/>
    <s v="NEGOCIAÇÃO VIA WHATSAPP"/>
    <n v="13"/>
    <x v="15"/>
    <s v="11.23"/>
    <s v="anne"/>
    <s v="181 a 360"/>
    <s v="CPC"/>
    <x v="2"/>
  </r>
  <r>
    <s v="COGECOM"/>
    <n v="3095429343"/>
    <s v="DOTERLI SIQUEIRA DA SILVA"/>
    <s v="OUT"/>
    <s v="OUTROS"/>
    <n v="59342960006"/>
    <x v="0"/>
    <s v="779.32"/>
    <s v="202.17"/>
    <n v="175"/>
    <s v="NÃO LOCALIZADO"/>
    <s v="TELEFONES SEM ATENDIMENTO"/>
    <n v="13"/>
    <x v="15"/>
    <s v="11.49"/>
    <s v="gleise"/>
    <s v="91 a 180"/>
    <s v="ACIONAMENTO"/>
    <x v="0"/>
  </r>
  <r>
    <s v="COGECOM"/>
    <n v="10023763408"/>
    <s v="ERZON BARBOSA JUNIOR"/>
    <s v="OUT"/>
    <s v="OUTROS"/>
    <n v="2051649197"/>
    <x v="0"/>
    <s v="359.04"/>
    <s v="89.90"/>
    <n v="187"/>
    <s v="SEM INTERESSE"/>
    <s v="NEGOCIAÇÃO VIA TELEFONE"/>
    <n v="13"/>
    <x v="15"/>
    <s v="14.33"/>
    <s v="amanda"/>
    <s v="181 a 360"/>
    <s v="CPC"/>
    <x v="1"/>
  </r>
  <r>
    <s v="COGECOM"/>
    <n v="3011069021"/>
    <s v="EDÉZIO LIANDRO  ALMEIDA"/>
    <s v="OUT"/>
    <s v="OUTROS"/>
    <n v="45296634691"/>
    <x v="1"/>
    <s v="0.00"/>
    <s v="412.52"/>
    <n v="196"/>
    <s v="NÃO LOCALIZADO"/>
    <s v="TELEFONES SEM ATENDIMENTO"/>
    <n v="13"/>
    <x v="15"/>
    <s v="13.05"/>
    <s v="amanda"/>
    <s v="181 a 360"/>
    <s v="ACIONAMENTO"/>
    <x v="0"/>
  </r>
  <r>
    <s v="COGECOM"/>
    <n v="6639275"/>
    <s v="RONI CESAR ZISMANN"/>
    <s v="OUT"/>
    <s v="OUTROS"/>
    <n v="340726911"/>
    <x v="1"/>
    <s v="0.00"/>
    <s v="73.65"/>
    <n v="176"/>
    <s v="EM NEGOCIAÇÃO"/>
    <s v="ALTERACAO DEBITO"/>
    <n v="14"/>
    <x v="15"/>
    <s v="12.57"/>
    <s v="elizabel"/>
    <s v="91 a 180"/>
    <s v="ACIONAMENTO"/>
    <x v="2"/>
  </r>
  <r>
    <s v="COGECOM"/>
    <n v="45772845"/>
    <s v="MARCIO PRESTES CAVENAGHI"/>
    <s v="OUT"/>
    <s v="OUTROS"/>
    <n v="2406679993"/>
    <x v="1"/>
    <s v="338.78"/>
    <s v="338.78"/>
    <n v="144"/>
    <s v="SEM INTERESSE"/>
    <s v="NEGOCIAÇÃO VIA TELEFONE"/>
    <n v="13"/>
    <x v="15"/>
    <s v="11.00"/>
    <s v="gleise"/>
    <s v="91 a 180"/>
    <s v="CPC"/>
    <x v="1"/>
  </r>
  <r>
    <s v="COGECOM"/>
    <n v="94480435"/>
    <s v="EXCLUSIVA ASSESSORIA A CONDOMÍNIOS LTDA ME"/>
    <s v="OUT"/>
    <s v="OUTROS"/>
    <n v="19531659000100"/>
    <x v="0"/>
    <s v="225.09"/>
    <s v="160.24"/>
    <n v="169"/>
    <s v="NÃO LOCALIZADO"/>
    <s v="TELEFONES SEM ATENDIMENTO"/>
    <n v="13"/>
    <x v="15"/>
    <s v="13.30"/>
    <s v="amanda"/>
    <s v="91 a 180"/>
    <s v="ACIONAMENTO"/>
    <x v="0"/>
  </r>
  <r>
    <s v="COGECOM"/>
    <n v="103578528"/>
    <s v="ELISON SIMÃO BENTO"/>
    <s v="OUT"/>
    <s v="OUTROS"/>
    <n v="7450587955"/>
    <x v="1"/>
    <s v="0.00"/>
    <s v="178.82"/>
    <n v="94"/>
    <s v="SEM INTERESSE"/>
    <s v="NEGOCIAÇÃO VIA TELEFONE"/>
    <n v="13"/>
    <x v="15"/>
    <s v="13.20"/>
    <s v="amanda"/>
    <s v="91 a 180"/>
    <s v="CPC"/>
    <x v="1"/>
  </r>
  <r>
    <s v="COGECOM"/>
    <n v="6632904"/>
    <s v="PAVIN MATERIAIS PARA CONSTRUÇÃO LTDA"/>
    <s v="OUT"/>
    <s v="OUTROS"/>
    <n v="2991952000220"/>
    <x v="1"/>
    <s v="0.00"/>
    <s v="504.17"/>
    <n v="96"/>
    <s v="COBRANÇA SUSPENSA"/>
    <s v="COBRANÇA SUSPENSA"/>
    <n v="16"/>
    <x v="15"/>
    <s v="13.54"/>
    <s v="luciano"/>
    <s v="91 a 180"/>
    <s v="ACIONAMENTO"/>
    <x v="4"/>
  </r>
  <r>
    <s v="COGECOM"/>
    <n v="67388841"/>
    <s v="DIOGO DALLEDONE PRODLIK"/>
    <s v="OUT"/>
    <s v="OUTROS"/>
    <n v="5598976935"/>
    <x v="0"/>
    <s v="241.05"/>
    <s v="57.36"/>
    <n v="93"/>
    <m/>
    <s v="SOLICITAR EXTINÇÃO DA AÇÃO"/>
    <n v="9999"/>
    <x v="15"/>
    <s v="16.03"/>
    <s v="amanda"/>
    <s v="91 a 180"/>
    <s v="ACIONAMENTO"/>
    <x v="4"/>
  </r>
  <r>
    <s v="COGECOM"/>
    <n v="84526068"/>
    <s v="CLEITON ORBEN"/>
    <s v="OUT"/>
    <s v="OUTROS"/>
    <n v="7910726902"/>
    <x v="1"/>
    <s v="0.00"/>
    <s v="200.32"/>
    <n v="71"/>
    <s v="EM NEGOCIAÇÃO"/>
    <s v="ALTERACAO DEBITO"/>
    <n v="14"/>
    <x v="15"/>
    <s v="12.52"/>
    <s v="elizabel"/>
    <s v="61 a 90"/>
    <s v="ACIONAMENTO"/>
    <x v="2"/>
  </r>
  <r>
    <s v="COGECOM"/>
    <n v="10015466165"/>
    <s v="CRISTIANE DA CRUZ SANTOS"/>
    <s v="OUT"/>
    <s v="OUTROS"/>
    <n v="81282117572"/>
    <x v="0"/>
    <s v="179.64"/>
    <s v="82.94"/>
    <n v="68"/>
    <s v="ACORDO VIGENTE COLCHÃO EM DIA"/>
    <s v="NEGOCIAÇÃO VIA TELEFONE"/>
    <n v="13"/>
    <x v="15"/>
    <s v="15.17"/>
    <s v="amanda"/>
    <s v="61 a 90"/>
    <s v="CPC"/>
    <x v="2"/>
  </r>
  <r>
    <s v="COGECOM"/>
    <n v="49800347"/>
    <s v="FLAVIO DALEASTE"/>
    <s v="OUT"/>
    <s v="OUTROS"/>
    <n v="77727916900"/>
    <x v="1"/>
    <s v="0.00"/>
    <s v="265.80"/>
    <n v="66"/>
    <m/>
    <s v="ALTERACAO DEBITO"/>
    <n v="9999"/>
    <x v="15"/>
    <s v="12.50"/>
    <s v="elizabel"/>
    <s v="61 a 90"/>
    <s v="ACIONAMENTO"/>
    <x v="4"/>
  </r>
  <r>
    <s v="COGECOM"/>
    <n v="3085437180"/>
    <s v="MAURO LUCIANO PERES ALVES"/>
    <s v="OUT"/>
    <s v="OUTROS"/>
    <n v="65186451053"/>
    <x v="1"/>
    <s v="0.00"/>
    <s v="112.55"/>
    <n v="69"/>
    <s v="EM NEGOCIAÇÃO"/>
    <s v="ALTERACAO DEBITO"/>
    <n v="14"/>
    <x v="15"/>
    <s v="12.49"/>
    <s v="elizabel"/>
    <s v="61 a 90"/>
    <s v="ACIONAMENTO"/>
    <x v="2"/>
  </r>
  <r>
    <s v="COGECOM"/>
    <n v="31182654"/>
    <s v="MURILO BORGES"/>
    <s v="OUT"/>
    <s v="OUTROS"/>
    <n v="4262704955"/>
    <x v="1"/>
    <s v="0.00"/>
    <s v="104.77"/>
    <n v="71"/>
    <s v="EM NEGOCIAÇÃO"/>
    <s v="ALTERACAO DEBITO"/>
    <n v="13"/>
    <x v="15"/>
    <s v="12.50"/>
    <s v="elizabel"/>
    <s v="61 a 90"/>
    <s v="ACIONAMENTO"/>
    <x v="2"/>
  </r>
  <r>
    <s v="COGECOM"/>
    <n v="51063740"/>
    <s v="ROBERTO DOS SANTOS RIBEIRO"/>
    <s v="OUT"/>
    <s v="OUTROS"/>
    <n v="92703437820"/>
    <x v="1"/>
    <s v="89.34"/>
    <s v="2.51"/>
    <n v="73"/>
    <s v="SEM INTERESSE"/>
    <s v="NEGOCIAÇÃO VIA TELEFONE"/>
    <n v="13"/>
    <x v="15"/>
    <s v="15.49"/>
    <s v="amanda"/>
    <s v="61 a 90"/>
    <s v="CPC"/>
    <x v="1"/>
  </r>
  <r>
    <s v="COGECOM"/>
    <n v="98130560"/>
    <s v="RENATO APARECIDO SOARES DA SILVA FERREIRA"/>
    <s v="OUT"/>
    <s v="OUTROS"/>
    <n v="6647223932"/>
    <x v="1"/>
    <s v="0.00"/>
    <s v="67.82"/>
    <n v="52"/>
    <s v="ACORDO VIGENTE COLCHÃO EM DIA"/>
    <s v="ACORDO VIGENTE COLCHÃO EM DIA"/>
    <n v="13"/>
    <x v="15"/>
    <s v="15.56"/>
    <s v="anakeppe"/>
    <s v="31 a 60"/>
    <s v="CPC"/>
    <x v="2"/>
  </r>
  <r>
    <s v="COGECOM"/>
    <n v="84128291"/>
    <s v="MISSAO RENOVAR DE APOIO E RESTAURACAO DE VIDAS"/>
    <s v="OUT"/>
    <s v="OUTROS"/>
    <n v="1008741000181"/>
    <x v="1"/>
    <s v="223.45"/>
    <s v="200.86"/>
    <n v="45"/>
    <s v="ACORDO VIGENTE COLCHÃO EM DIA"/>
    <s v="NEGOCIAÇÃO VIA TELEFONE"/>
    <n v="13"/>
    <x v="15"/>
    <s v="15.52"/>
    <s v="amanda"/>
    <s v="31 a 60"/>
    <s v="CPC"/>
    <x v="2"/>
  </r>
  <r>
    <s v="COGECOM"/>
    <n v="90087321"/>
    <s v="RODRIGO CABRAL PEREIRA"/>
    <s v="OUT"/>
    <s v="OUTROS"/>
    <n v="2878197950"/>
    <x v="1"/>
    <s v="0.00"/>
    <s v="219.92"/>
    <n v="39"/>
    <s v="EM NEGOCIAÇÃO"/>
    <s v="NEGOCIAÇÃO VIA WHATSAPP"/>
    <n v="13"/>
    <x v="15"/>
    <s v="16.22"/>
    <s v="anne"/>
    <s v="31 a 60"/>
    <s v="CPC"/>
    <x v="2"/>
  </r>
  <r>
    <s v="COGECOM"/>
    <n v="40283151"/>
    <s v="ALEXANDRE CUNHA"/>
    <s v="OUT"/>
    <s v="OUTROS"/>
    <n v="25382132828"/>
    <x v="1"/>
    <s v="197.54"/>
    <s v="177.31"/>
    <n v="34"/>
    <s v="ACORDO VIGENTE COLCHÃO EM DIA"/>
    <s v="NEGOCIAÇÃO VIA TELEFONE"/>
    <n v="13"/>
    <x v="15"/>
    <s v="16.10"/>
    <s v="amanda"/>
    <s v="31 a 60"/>
    <s v="CPC"/>
    <x v="2"/>
  </r>
  <r>
    <s v="COGECOM"/>
    <n v="3013466982"/>
    <s v="CYNTHYA NARA CARVALHO"/>
    <s v="OUT"/>
    <s v="OUTROS"/>
    <n v="5244482645"/>
    <x v="0"/>
    <s v="156.19"/>
    <s v="139.72"/>
    <n v="37"/>
    <s v="ACORDO VIGENTE COLCHÃO EM DIA"/>
    <s v="NEGOCIAÇÃO VIA WHATSAPP"/>
    <n v="13"/>
    <x v="15"/>
    <s v="14.27"/>
    <s v="amanda"/>
    <s v="31 a 60"/>
    <s v="CPC"/>
    <x v="2"/>
  </r>
  <r>
    <s v="COGECOM"/>
    <n v="3002624476"/>
    <s v="BARBARA MARIA DA SILVA"/>
    <s v="OUT"/>
    <s v="OUTROS"/>
    <n v="41905008600"/>
    <x v="1"/>
    <s v="0.00"/>
    <s v="142.49"/>
    <n v="41"/>
    <s v="EM NEGOCIAÇÃO"/>
    <s v="NEGOCIAÇÃO VIA TELEFONE"/>
    <n v="13"/>
    <x v="15"/>
    <s v="13.48"/>
    <s v="anne"/>
    <s v="31 a 60"/>
    <s v="CPC"/>
    <x v="2"/>
  </r>
  <r>
    <s v="COGECOM"/>
    <n v="3095548904"/>
    <s v="LUCAS AMORIM BONINI"/>
    <s v="OUT"/>
    <s v="OUTROS"/>
    <n v="1022509012"/>
    <x v="1"/>
    <s v="0.00"/>
    <s v="102.38"/>
    <n v="33"/>
    <m/>
    <s v="ALTERACAO DEBITO"/>
    <n v="9999"/>
    <x v="15"/>
    <s v="12.48"/>
    <s v="elizabel"/>
    <s v="31 a 60"/>
    <s v="ACIONAMENTO"/>
    <x v="4"/>
  </r>
  <r>
    <s v="COGECOM"/>
    <n v="3085023647"/>
    <s v="ANDRE EDUARDO ROSSINI RODRIGUES"/>
    <s v="OUT"/>
    <s v="OUTROS"/>
    <n v="51511428015"/>
    <x v="1"/>
    <s v="0.00"/>
    <s v="71.52"/>
    <n v="611"/>
    <s v="EM NEGOCIAÇÃO"/>
    <s v="ALTERACAO DEBITO"/>
    <n v="33"/>
    <x v="16"/>
    <s v="12.53"/>
    <s v="elizabel"/>
    <s v="Acima de 361"/>
    <s v="ACIONAMENTO"/>
    <x v="2"/>
  </r>
  <r>
    <s v="COGECOM"/>
    <n v="42191167"/>
    <s v="CT SANTO ANTONIO ATIVIDADES FÍSICAS LTDA"/>
    <s v="OUT"/>
    <s v="OUTROS"/>
    <n v="30953738000134"/>
    <x v="1"/>
    <s v="0.00"/>
    <s v="380.97"/>
    <n v="208"/>
    <s v="SEM INTERESSE"/>
    <s v="NEGOCIAÇÃO VIA TELEFONE"/>
    <n v="14"/>
    <x v="16"/>
    <s v="16.07"/>
    <s v="gleise"/>
    <s v="181 a 360"/>
    <s v="CPC"/>
    <x v="1"/>
  </r>
  <r>
    <s v="COGECOM"/>
    <n v="3002778746"/>
    <s v="MARIA DA   GLORIA MOREIRA OLIVEIRA"/>
    <s v="OUT"/>
    <s v="OUTROS"/>
    <n v="99527456649"/>
    <x v="1"/>
    <s v="0.00"/>
    <s v="206.75"/>
    <n v="220"/>
    <s v="NÃO LOCALIZADO"/>
    <s v="TELEFONES SEM ATENDIMENTO"/>
    <n v="14"/>
    <x v="16"/>
    <s v="14.29"/>
    <s v="gleise"/>
    <s v="181 a 360"/>
    <s v="ACIONAMENTO"/>
    <x v="0"/>
  </r>
  <r>
    <s v="COGECOM"/>
    <n v="10016065156"/>
    <s v="IGOR MARQUES GALVAO"/>
    <s v="OUT"/>
    <s v="OUTROS"/>
    <n v="5201202136"/>
    <x v="1"/>
    <s v="0.00"/>
    <s v="73.29"/>
    <n v="146"/>
    <s v="EM NEGOCIAÇÃO"/>
    <s v="ALTERACAO DEBITO"/>
    <n v="15"/>
    <x v="16"/>
    <s v="13.00"/>
    <s v="elizabel"/>
    <s v="91 a 180"/>
    <s v="ACIONAMENTO"/>
    <x v="2"/>
  </r>
  <r>
    <s v="COGECOM"/>
    <n v="3095103170"/>
    <s v="ROBERTO SCHAICH DE ALMEIDA"/>
    <s v="OUT"/>
    <s v="OUTROS"/>
    <n v="95259546091"/>
    <x v="1"/>
    <s v="428.88"/>
    <s v="327.91"/>
    <n v="157"/>
    <s v="NÃO LOCALIZADO"/>
    <s v="TELEFONES SEM ATENDIMENTO"/>
    <n v="14"/>
    <x v="16"/>
    <s v="16.30"/>
    <s v="gleise"/>
    <s v="91 a 180"/>
    <s v="ACIONAMENTO"/>
    <x v="0"/>
  </r>
  <r>
    <s v="COGECOM"/>
    <n v="110069188"/>
    <s v="MARCOS VINICIUS MAZUROK"/>
    <s v="OUT"/>
    <s v="OUTROS"/>
    <n v="4879549983"/>
    <x v="1"/>
    <s v="0.00"/>
    <s v="69.88"/>
    <n v="142"/>
    <s v="NÃO LOCALIZADO"/>
    <s v="TELEFONES SEM ATENDIMENTO"/>
    <n v="14"/>
    <x v="16"/>
    <s v="11.23"/>
    <s v="gleise"/>
    <s v="91 a 180"/>
    <s v="ACIONAMENTO"/>
    <x v="0"/>
  </r>
  <r>
    <s v="COGECOM"/>
    <n v="10633529"/>
    <s v="RODRIGUES AGUA E BEBIDAS LTDA"/>
    <s v="OUT"/>
    <s v="OUTROS"/>
    <n v="22940785000115"/>
    <x v="1"/>
    <s v="0.00"/>
    <s v="5455.58"/>
    <n v="143"/>
    <s v="COBRANÇA SUSPENSA"/>
    <s v="COBRANÇA SUSPENSA"/>
    <n v="14"/>
    <x v="16"/>
    <s v="11.51"/>
    <s v="luciano"/>
    <s v="91 a 180"/>
    <s v="ACIONAMENTO"/>
    <x v="4"/>
  </r>
  <r>
    <s v="COGECOM"/>
    <n v="31560560"/>
    <s v="TATSCH E LEITE ALIMENTOS E SUPLEMENTOS LTDA"/>
    <s v="OUT"/>
    <s v="OUTROS"/>
    <n v="29111954000153"/>
    <x v="1"/>
    <s v="0.00"/>
    <s v="236.57"/>
    <n v="69"/>
    <s v="EM NEGOCIAÇÃO"/>
    <s v="ALTERACAO DEBITO"/>
    <n v="14"/>
    <x v="16"/>
    <s v="12.28"/>
    <s v="elizabel"/>
    <s v="61 a 90"/>
    <s v="ACIONAMENTO"/>
    <x v="2"/>
  </r>
  <r>
    <s v="COGECOM"/>
    <n v="1031740"/>
    <s v="ELIANE GLASENAPP STRAUCH"/>
    <s v="OUT"/>
    <s v="OUTROS"/>
    <n v="70230145949"/>
    <x v="1"/>
    <s v="177.20"/>
    <s v="158.82"/>
    <n v="62"/>
    <m/>
    <s v="GERAÇÃO DE ACORDO"/>
    <n v="9999"/>
    <x v="16"/>
    <s v="15.21"/>
    <s v="anakeppe"/>
    <s v="61 a 90"/>
    <s v="CPC"/>
    <x v="4"/>
  </r>
  <r>
    <s v="COGECOM"/>
    <n v="53387039"/>
    <s v="HENRIQUE ANTONIO DE OLIVEIRA OLIVEIRA"/>
    <s v="OUT"/>
    <s v="OUTROS"/>
    <n v="31596043814"/>
    <x v="1"/>
    <s v="0.00"/>
    <s v="46.39"/>
    <n v="34"/>
    <s v="EM NEGOCIAÇÃO"/>
    <s v="NEGOCIAÇÃO VIA WHATSAPP"/>
    <n v="14"/>
    <x v="16"/>
    <s v="15.40"/>
    <s v="anne"/>
    <s v="31 a 60"/>
    <s v="CPC"/>
    <x v="2"/>
  </r>
  <r>
    <s v="COGECOM"/>
    <n v="3001906226"/>
    <s v="WEDELSON APARECIDO DA SILVA"/>
    <s v="OUT"/>
    <s v="OUTROS"/>
    <n v="4247377604"/>
    <x v="1"/>
    <s v="750.86"/>
    <s v="182.67"/>
    <n v="218"/>
    <s v="NÃO LOCALIZADO"/>
    <s v="TELEFONES SEM ATENDIMENTO"/>
    <n v="21"/>
    <x v="16"/>
    <s v="10.32"/>
    <s v="gleise"/>
    <s v="181 a 360"/>
    <s v="ACIONAMENTO"/>
    <x v="0"/>
  </r>
  <r>
    <s v="COGECOM"/>
    <n v="110745868"/>
    <s v="CECILIA OTILIA RODRIGUES"/>
    <s v="OUT"/>
    <s v="OUTROS"/>
    <n v="57462852934"/>
    <x v="1"/>
    <s v="0.00"/>
    <s v="2412.49"/>
    <n v="77"/>
    <s v="EM NEGOCIAÇÃO"/>
    <s v="BAIXA ACORDO/CHEQUE-PRE"/>
    <n v="22"/>
    <x v="16"/>
    <s v="13.55"/>
    <s v="luciano"/>
    <s v="61 a 90"/>
    <s v="CPC"/>
    <x v="2"/>
  </r>
  <r>
    <s v="COGECOM"/>
    <n v="31562350"/>
    <s v="TATSCH E LEITE ALIMENTOS E SUPLEMENTOS LTDA"/>
    <s v="OUT"/>
    <s v="OUTROS"/>
    <n v="29111954000153"/>
    <x v="1"/>
    <s v="0.00"/>
    <s v="1029.57"/>
    <n v="69"/>
    <s v="EM NEGOCIAÇÃO"/>
    <s v="ALTERACAO DEBITO"/>
    <n v="21"/>
    <x v="16"/>
    <s v="12.32"/>
    <s v="elizabel"/>
    <s v="61 a 90"/>
    <s v="ACIONAMENTO"/>
    <x v="2"/>
  </r>
  <r>
    <s v="COGECOM"/>
    <n v="10036253519"/>
    <s v="ADEILTON AZEVEDO DE ARAUJO"/>
    <s v="OUT"/>
    <s v="OUTROS"/>
    <n v="70332878449"/>
    <x v="1"/>
    <s v="0.00"/>
    <s v="34.12"/>
    <n v="205"/>
    <s v="SEM INTERESSE"/>
    <s v="NEGOCIAÇÃO VIA TELEFONE"/>
    <n v="15"/>
    <x v="17"/>
    <s v="11.46"/>
    <s v="anakeppe"/>
    <s v="181 a 360"/>
    <s v="CPC"/>
    <x v="1"/>
  </r>
  <r>
    <s v="COGECOM"/>
    <n v="49482912"/>
    <s v="BRUNO ALVES PAIM"/>
    <s v="OUT"/>
    <s v="OUTROS"/>
    <n v="61948128268"/>
    <x v="1"/>
    <s v="0.00"/>
    <s v="665.29"/>
    <n v="199"/>
    <s v="NÃO LOCALIZADO"/>
    <s v="TELEFONES SEM ATENDIMENTO"/>
    <n v="15"/>
    <x v="17"/>
    <s v="13.03"/>
    <s v="amanda"/>
    <s v="181 a 360"/>
    <s v="ACIONAMENTO"/>
    <x v="0"/>
  </r>
  <r>
    <s v="COGECOM"/>
    <n v="3003477586"/>
    <s v="ADRIANA BENTO PARREIRA"/>
    <s v="OUT"/>
    <s v="OUTROS"/>
    <n v="6103999693"/>
    <x v="1"/>
    <s v="0.00"/>
    <s v="113.10"/>
    <n v="269"/>
    <s v="SEM INTERESSE"/>
    <s v="NEGOCIAÇÃO VIA TELEFONE"/>
    <n v="15"/>
    <x v="17"/>
    <s v="11.44"/>
    <s v="anakeppe"/>
    <s v="181 a 360"/>
    <s v="CPC"/>
    <x v="1"/>
  </r>
  <r>
    <s v="COGECOM"/>
    <n v="100235077"/>
    <s v="GERSON AMARAL FREITAS FILHO"/>
    <s v="OUT"/>
    <s v="OUTROS"/>
    <n v="2319663932"/>
    <x v="1"/>
    <s v="0.00"/>
    <s v="165.70"/>
    <n v="183"/>
    <s v="SEM INTERESSE"/>
    <s v="NEGOCIAÇÃO VIA TELEFONE"/>
    <n v="15"/>
    <x v="17"/>
    <s v="11.19"/>
    <s v="amanda"/>
    <s v="181 a 360"/>
    <s v="CPC"/>
    <x v="1"/>
  </r>
  <r>
    <s v="COGECOM"/>
    <n v="48939538"/>
    <s v="TIAGO FAZIONI"/>
    <s v="OUT"/>
    <s v="OUTROS"/>
    <n v="5670571940"/>
    <x v="0"/>
    <s v="478.11"/>
    <s v="119.63"/>
    <n v="188"/>
    <s v="SEM INTERESSE"/>
    <s v="NEGOCIAÇÃO VIA TELEFONE"/>
    <n v="15"/>
    <x v="17"/>
    <s v="13.36"/>
    <s v="amanda"/>
    <s v="181 a 360"/>
    <s v="CPC"/>
    <x v="1"/>
  </r>
  <r>
    <s v="COGECOM"/>
    <n v="507130"/>
    <s v="LUIZ ANTONIO DA ROCHA"/>
    <s v="OUT"/>
    <s v="OUTROS"/>
    <n v="23060700915"/>
    <x v="1"/>
    <s v="0.00"/>
    <s v="1931.60"/>
    <n v="125"/>
    <s v="NÃO LOCALIZADO"/>
    <s v="TELEFONES SEM ATENDIMENTO"/>
    <n v="15"/>
    <x v="17"/>
    <s v="10.34"/>
    <s v="anakeppe"/>
    <s v="91 a 180"/>
    <s v="ACIONAMENTO"/>
    <x v="0"/>
  </r>
  <r>
    <s v="COGECOM"/>
    <n v="10017428651"/>
    <s v="VYTAUTAS FABIANO SILVA ZUMAS"/>
    <s v="OUT"/>
    <s v="OUTROS"/>
    <n v="2543093990"/>
    <x v="1"/>
    <s v="0.00"/>
    <s v="382.07"/>
    <n v="143"/>
    <s v="SEM INTERESSE"/>
    <s v="NEGOCIAÇÃO VIA TELEFONE"/>
    <n v="15"/>
    <x v="17"/>
    <s v="9.57"/>
    <s v="gleise"/>
    <s v="91 a 180"/>
    <s v="CPC"/>
    <x v="1"/>
  </r>
  <r>
    <s v="COGECOM"/>
    <n v="92425917"/>
    <s v="KASSANDRA WOHLKE DUDA"/>
    <s v="OUT"/>
    <s v="OUTROS"/>
    <n v="92193510997"/>
    <x v="1"/>
    <s v="0.00"/>
    <s v="307.60"/>
    <n v="136"/>
    <s v="EM NEGOCIAÇÃO"/>
    <s v="NEGOCIAÇÃO VIA WHATSAPP"/>
    <n v="15"/>
    <x v="17"/>
    <s v="16.01"/>
    <s v="anne"/>
    <s v="91 a 180"/>
    <s v="CPC"/>
    <x v="2"/>
  </r>
  <r>
    <s v="COGECOM"/>
    <n v="3010532175"/>
    <s v="CESAR AUGUSTO TRIGINELLI"/>
    <s v="OUT"/>
    <s v="OUTROS"/>
    <n v="2714115624"/>
    <x v="1"/>
    <s v="0.00"/>
    <s v="23.77"/>
    <n v="140"/>
    <s v="EM NEGOCIAÇÃO"/>
    <s v="ALTERACAO DEBITO"/>
    <n v="16"/>
    <x v="17"/>
    <s v="12.37"/>
    <s v="elizabel"/>
    <s v="91 a 180"/>
    <s v="ACIONAMENTO"/>
    <x v="2"/>
  </r>
  <r>
    <s v="COGECOM"/>
    <n v="14542201"/>
    <s v="LEANDRO CARNEIRO DE PAULA"/>
    <s v="OUT"/>
    <s v="OUTROS"/>
    <n v="86009060168"/>
    <x v="1"/>
    <s v="0.00"/>
    <s v="898.99"/>
    <n v="169"/>
    <s v="EM NEGOCIAÇÃO"/>
    <s v="NEGOCIAÇÃO VIA TELEFONE"/>
    <n v="15"/>
    <x v="17"/>
    <s v="14.59"/>
    <s v="anne"/>
    <s v="91 a 180"/>
    <s v="CPC"/>
    <x v="2"/>
  </r>
  <r>
    <s v="COGECOM"/>
    <n v="102701091"/>
    <s v="CLEBER BATISTA LEDESMA"/>
    <s v="OUT"/>
    <s v="OUTROS"/>
    <n v="8172555911"/>
    <x v="1"/>
    <s v="0.00"/>
    <s v="156.48"/>
    <n v="145"/>
    <s v="NÃO LOCALIZADO"/>
    <s v="TELEFONES SEM ATENDIMENTO"/>
    <n v="15"/>
    <x v="17"/>
    <s v="11.43"/>
    <s v="amanda"/>
    <s v="91 a 180"/>
    <s v="ACIONAMENTO"/>
    <x v="0"/>
  </r>
  <r>
    <s v="COGECOM"/>
    <n v="70214387"/>
    <s v="BRENO EDUARDO BARROS RAMOS SANTOS"/>
    <s v="OUT"/>
    <s v="OUTROS"/>
    <n v="6193839925"/>
    <x v="1"/>
    <s v="20253.23"/>
    <s v="8092.93"/>
    <n v="196"/>
    <s v="NÃO LOCALIZADO"/>
    <s v="TELEFONES SEM ATENDIMENTO"/>
    <n v="15"/>
    <x v="17"/>
    <s v="10.33"/>
    <s v="amanda"/>
    <s v="181 a 360"/>
    <s v="ACIONAMENTO"/>
    <x v="0"/>
  </r>
  <r>
    <s v="COGECOM"/>
    <n v="68179901"/>
    <s v="CECILIA OTILIA RODRIGUES"/>
    <s v="OUT"/>
    <s v="OUTROS"/>
    <n v="57462852934"/>
    <x v="1"/>
    <s v="0.00"/>
    <s v="1762.92"/>
    <n v="96"/>
    <s v="EM NEGOCIAÇÃO"/>
    <s v="GERAÇÃO DE ACORDO"/>
    <n v="15"/>
    <x v="17"/>
    <s v="16.23"/>
    <s v="anakeppe"/>
    <s v="91 a 180"/>
    <s v="CPC"/>
    <x v="2"/>
  </r>
  <r>
    <s v="COGECOM"/>
    <n v="8728887"/>
    <s v="EDIFICIO RESIDENCIAL COSTA AMALFITANA"/>
    <s v="OUT"/>
    <s v="OUTROS"/>
    <n v="21705463000129"/>
    <x v="1"/>
    <s v="0.00"/>
    <s v="1259.52"/>
    <n v="66"/>
    <s v="NÃO LOCALIZADO"/>
    <s v="TELEFONES SEM ATENDIMENTO"/>
    <n v="15"/>
    <x v="17"/>
    <s v="11.39"/>
    <s v="gleise"/>
    <s v="61 a 90"/>
    <s v="ACIONAMENTO"/>
    <x v="0"/>
  </r>
  <r>
    <s v="COGECOM"/>
    <n v="18520133"/>
    <s v="FERNANDA OLIVEIRA HUBER FERREIRA"/>
    <s v="OUT"/>
    <s v="OUTROS"/>
    <n v="45235877870"/>
    <x v="1"/>
    <s v="120.22"/>
    <s v="2.48"/>
    <n v="73"/>
    <s v="EM NEGOCIAÇÃO"/>
    <s v="NEGOCIAÇÃO VIA TELEFONE"/>
    <n v="15"/>
    <x v="17"/>
    <s v="11.34"/>
    <s v="anakeppe"/>
    <s v="61 a 90"/>
    <s v="CPC"/>
    <x v="2"/>
  </r>
  <r>
    <s v="COGECOM"/>
    <n v="3002226309"/>
    <s v="JOSE ADALBERTO DA SILVA"/>
    <s v="OUT"/>
    <s v="OUTROS"/>
    <n v="28652002649"/>
    <x v="1"/>
    <s v="217.70"/>
    <s v="230.94"/>
    <n v="65"/>
    <s v="SEM INTERESSE"/>
    <s v="NEGOCIAÇÃO VIA TELEFONE"/>
    <n v="15"/>
    <x v="17"/>
    <s v="16.37"/>
    <s v="gleise"/>
    <s v="61 a 90"/>
    <s v="CPC"/>
    <x v="1"/>
  </r>
  <r>
    <s v="COGECOM"/>
    <n v="23879816"/>
    <s v="MERCADO SUPER LTDA ME"/>
    <s v="OUT"/>
    <s v="OUTROS"/>
    <n v="9269518000108"/>
    <x v="1"/>
    <s v="0.00"/>
    <s v="4693.04"/>
    <n v="66"/>
    <s v="EM NEGOCIAÇÃO"/>
    <s v="NEGOCIAÇÃO VIA WHATSAPP"/>
    <n v="15"/>
    <x v="17"/>
    <s v="9.07"/>
    <s v="anne"/>
    <s v="61 a 90"/>
    <s v="CPC"/>
    <x v="2"/>
  </r>
  <r>
    <s v="COGECOM"/>
    <n v="55624500"/>
    <s v="RENATA CARLA CASSIMIRO"/>
    <s v="OUT"/>
    <s v="OUTROS"/>
    <n v="7949158921"/>
    <x v="1"/>
    <s v="0.00"/>
    <s v="52.94"/>
    <n v="71"/>
    <m/>
    <s v="SOLICITAR EXTINÇÃO DA AÇÃO"/>
    <n v="9999"/>
    <x v="17"/>
    <s v="15.24"/>
    <s v="amanda"/>
    <s v="61 a 90"/>
    <s v="ACIONAMENTO"/>
    <x v="4"/>
  </r>
  <r>
    <s v="COGECOM"/>
    <n v="40040218"/>
    <s v="VILMAR ARNOLDO SARTORI"/>
    <s v="OUT"/>
    <s v="OUTROS"/>
    <n v="46478787915"/>
    <x v="1"/>
    <s v="81.65"/>
    <s v="2.51"/>
    <n v="73"/>
    <s v="SEM INTERESSE"/>
    <s v="NEGOCIAÇÃO VIA TELEFONE"/>
    <n v="15"/>
    <x v="17"/>
    <s v="10.42"/>
    <s v="anakeppe"/>
    <s v="61 a 90"/>
    <s v="CPC"/>
    <x v="1"/>
  </r>
  <r>
    <s v="COGECOM"/>
    <n v="24419304"/>
    <s v="CLEUSA MARIA  DOS SANTOS LOPES"/>
    <s v="OUT"/>
    <s v="OUTROS"/>
    <n v="38151340053"/>
    <x v="0"/>
    <s v="44.12"/>
    <s v="44.12"/>
    <n v="62"/>
    <m/>
    <s v="SOLICITAR EXTINÇÃO DA AÇÃO"/>
    <n v="9999"/>
    <x v="17"/>
    <s v="14.25"/>
    <s v="anakeppe"/>
    <s v="61 a 90"/>
    <s v="ACIONAMENTO"/>
    <x v="4"/>
  </r>
  <r>
    <s v="COGECOM"/>
    <n v="4830013012"/>
    <s v="VICENTE DE PAULA VIANA DE SANTANNA"/>
    <s v="OUT"/>
    <s v="OUTROS"/>
    <n v="18351000159"/>
    <x v="1"/>
    <s v="0.00"/>
    <s v="93.84"/>
    <n v="61"/>
    <s v="NÃO LOCALIZADO"/>
    <s v="TELEFONES SEM ATENDIMENTO"/>
    <n v="15"/>
    <x v="17"/>
    <s v="11.21"/>
    <s v="amanda"/>
    <s v="61 a 90"/>
    <s v="ACIONAMENTO"/>
    <x v="0"/>
  </r>
  <r>
    <s v="COGECOM"/>
    <n v="10037848788"/>
    <s v="ARLEDO FERREIRA DE SOUZA"/>
    <s v="OUT"/>
    <s v="OUTROS"/>
    <n v="58496874168"/>
    <x v="1"/>
    <s v="0.00"/>
    <s v="108.55"/>
    <n v="62"/>
    <s v="EM NEGOCIAÇÃO"/>
    <s v="NEGOCIAÇÃO VIA TELEFONE"/>
    <n v="15"/>
    <x v="17"/>
    <s v="14.21"/>
    <s v="anne"/>
    <s v="61 a 90"/>
    <s v="CPC"/>
    <x v="2"/>
  </r>
  <r>
    <s v="COGECOM"/>
    <n v="3014288332"/>
    <s v="LUCILEIA DOMINGOS SILVA"/>
    <s v="OUT"/>
    <s v="OUTROS"/>
    <n v="6360279614"/>
    <x v="1"/>
    <s v="0.00"/>
    <s v="146.96"/>
    <n v="47"/>
    <s v="ACORDO VIGENTE COLCHÃO EM DIA"/>
    <s v="NEGOCIAÇÃO VIA TELEFONE"/>
    <n v="15"/>
    <x v="17"/>
    <s v="13.43"/>
    <s v="amanda"/>
    <s v="31 a 60"/>
    <s v="CPC"/>
    <x v="2"/>
  </r>
  <r>
    <s v="COGECOM"/>
    <n v="28106270"/>
    <s v="GILSON MENDES"/>
    <s v="OUT"/>
    <s v="OUTROS"/>
    <n v="70132909987"/>
    <x v="1"/>
    <s v="0.00"/>
    <s v="398.15"/>
    <n v="66"/>
    <s v="SEM INTERESSE"/>
    <s v="NEGOCIAÇÃO VIA TELEFONE"/>
    <n v="15"/>
    <x v="17"/>
    <s v="14.47"/>
    <s v="gleise"/>
    <s v="61 a 90"/>
    <s v="CPC"/>
    <x v="1"/>
  </r>
  <r>
    <s v="COGECOM"/>
    <n v="3013733349"/>
    <s v="RAFAEL LEMES DE ANDRADE"/>
    <s v="OUT"/>
    <s v="OUTROS"/>
    <n v="439050138"/>
    <x v="1"/>
    <s v="318.53"/>
    <s v="252.43"/>
    <n v="48"/>
    <s v="NÃO LOCALIZADO"/>
    <s v="TELEFONES SEM ATENDIMENTO"/>
    <n v="15"/>
    <x v="17"/>
    <s v="15.24"/>
    <s v="gleise"/>
    <s v="31 a 60"/>
    <s v="ACIONAMENTO"/>
    <x v="0"/>
  </r>
  <r>
    <s v="COGECOM"/>
    <n v="28257278"/>
    <s v="ELOANI CRISTINA AGUIAR"/>
    <s v="OUT"/>
    <s v="OUTROS"/>
    <n v="19035313810"/>
    <x v="1"/>
    <s v="0.00"/>
    <s v="443.14"/>
    <n v="79"/>
    <s v="NÃO LOCALIZADO"/>
    <s v="TELEFONES SEM ATENDIMENTO"/>
    <n v="15"/>
    <x v="17"/>
    <s v="10.15"/>
    <s v="anakeppe"/>
    <s v="61 a 90"/>
    <s v="ACIONAMENTO"/>
    <x v="0"/>
  </r>
  <r>
    <s v="COGECOM"/>
    <n v="86350943"/>
    <s v="ROGERIO ZANATA RIBEIRO"/>
    <s v="OUT"/>
    <s v="OUTROS"/>
    <n v="3691872964"/>
    <x v="0"/>
    <s v="506.97"/>
    <s v="506.97"/>
    <n v="177"/>
    <m/>
    <s v="SOLICITAR EXTINÇÃO DA AÇÃO"/>
    <n v="9999"/>
    <x v="17"/>
    <s v="15.29"/>
    <s v="anakeppe"/>
    <s v="91 a 180"/>
    <s v="ACIONAMENTO"/>
    <x v="4"/>
  </r>
  <r>
    <s v="COGECOM"/>
    <n v="4064356"/>
    <s v="ALBERTO GAESKI JUNIOR"/>
    <s v="OUT"/>
    <s v="OUTROS"/>
    <n v="60603607934"/>
    <x v="1"/>
    <s v="0.00"/>
    <s v="542.29"/>
    <n v="189"/>
    <s v="SEM INTERESSE"/>
    <s v="NEGOCIAÇÃO VIA TELEFONE"/>
    <n v="15"/>
    <x v="17"/>
    <s v="10.56"/>
    <s v="anakeppe"/>
    <s v="181 a 360"/>
    <s v="CPC"/>
    <x v="1"/>
  </r>
  <r>
    <s v="COGECOM"/>
    <n v="3095518622"/>
    <s v="HUMBERTO MESSA ROEHRIG"/>
    <s v="OUT"/>
    <s v="OUTROS"/>
    <n v="80611893053"/>
    <x v="1"/>
    <s v="0.00"/>
    <s v="91.86"/>
    <n v="36"/>
    <s v="ACORDO VIGENTE COLCHÃO EM DIA"/>
    <s v="NEGOCIAÇÃO VIA WHATSAPP"/>
    <n v="15"/>
    <x v="17"/>
    <s v="16.41"/>
    <s v="amanda"/>
    <s v="31 a 60"/>
    <s v="CPC"/>
    <x v="2"/>
  </r>
  <r>
    <s v="COGECOM"/>
    <n v="86881957"/>
    <s v="50 TONS DE VINHO COMERCIO DE BEBIDAS LTDA"/>
    <s v="OUT"/>
    <s v="OUTROS"/>
    <n v="32773144000177"/>
    <x v="1"/>
    <s v="0.00"/>
    <s v="410.79"/>
    <n v="41"/>
    <s v="NÃO LOCALIZADO"/>
    <s v="TELEFONES SEM ATENDIMENTO"/>
    <n v="15"/>
    <x v="17"/>
    <s v="13.31"/>
    <s v="gleise"/>
    <s v="31 a 60"/>
    <s v="ACIONAMENTO"/>
    <x v="0"/>
  </r>
  <r>
    <s v="COGECOM"/>
    <n v="83743057"/>
    <s v="LEANDRO NOGUEIRA MARTINS"/>
    <s v="OUT"/>
    <s v="OUTROS"/>
    <n v="3476442950"/>
    <x v="1"/>
    <s v="0.00"/>
    <s v="546.50"/>
    <n v="41"/>
    <s v="NÃO LOCALIZADO"/>
    <s v="TELEFONES SEM ATENDIMENTO"/>
    <n v="15"/>
    <x v="17"/>
    <s v="16.29"/>
    <s v="anne"/>
    <s v="31 a 60"/>
    <s v="ACIONAMENTO"/>
    <x v="0"/>
  </r>
  <r>
    <s v="COGECOM"/>
    <n v="96226056"/>
    <s v="ALINE MARTINS DUBOC NATAL"/>
    <s v="OUT"/>
    <s v="OUTROS"/>
    <n v="8241237782"/>
    <x v="1"/>
    <s v="0.00"/>
    <s v="74.01"/>
    <n v="32"/>
    <s v="NÃO LOCALIZADO"/>
    <s v="TELEFONES SEM ATENDIMENTO"/>
    <n v="15"/>
    <x v="17"/>
    <s v="16.14"/>
    <s v="gleise"/>
    <s v="31 a 60"/>
    <s v="ACIONAMENTO"/>
    <x v="0"/>
  </r>
  <r>
    <s v="COGECOM"/>
    <n v="39596516"/>
    <s v="LARISSA JULIAO DA SILVA"/>
    <s v="OUT"/>
    <s v="OUTROS"/>
    <n v="8924477960"/>
    <x v="1"/>
    <s v="0.00"/>
    <s v="242.74"/>
    <n v="32"/>
    <s v="EM NEGOCIAÇÃO"/>
    <s v="NEGOCIAÇÃO VIA WHATSAPP"/>
    <n v="15"/>
    <x v="17"/>
    <s v="16.22"/>
    <s v="anne"/>
    <s v="31 a 60"/>
    <s v="CPC"/>
    <x v="2"/>
  </r>
  <r>
    <s v="COGECOM"/>
    <n v="3095477214"/>
    <s v="TAMARA DANIELA REITER"/>
    <s v="OUT"/>
    <s v="OUTROS"/>
    <n v="91349478091"/>
    <x v="1"/>
    <s v="0.00"/>
    <s v="445.09"/>
    <n v="43"/>
    <s v="SEM INTERESSE"/>
    <s v="NEGOCIAÇÃO VIA TELEFONE"/>
    <n v="22"/>
    <x v="17"/>
    <s v="15.39"/>
    <s v="gleise"/>
    <s v="31 a 60"/>
    <s v="CPC"/>
    <x v="1"/>
  </r>
  <r>
    <s v="COGECOM"/>
    <n v="46568281"/>
    <s v="DIOGO APARECIDO LANZA"/>
    <s v="OUT"/>
    <s v="OUTROS"/>
    <n v="4678514929"/>
    <x v="1"/>
    <s v="0.00"/>
    <s v="215.07"/>
    <n v="159"/>
    <s v="ACORDO VIGENTE COLCHÃO EM DIA"/>
    <s v="ALTERACAO DEBITO"/>
    <n v="22"/>
    <x v="18"/>
    <s v="11.59"/>
    <s v="elizabel"/>
    <s v="91 a 180"/>
    <s v="ACIONAMENTO"/>
    <x v="2"/>
  </r>
  <r>
    <s v="COGECOM"/>
    <n v="52247390"/>
    <s v="ELISIANE IZA DRECHSLER DOS SANTOS"/>
    <s v="OUT"/>
    <s v="OUTROS"/>
    <n v="98626000049"/>
    <x v="0"/>
    <s v="0.00"/>
    <s v="340.21"/>
    <n v="353"/>
    <s v="EM NEGOCIAÇÃO"/>
    <s v="NEGOCIAÇÃO VIA TELEFONE"/>
    <n v="16"/>
    <x v="18"/>
    <s v="11.01"/>
    <s v="amanda"/>
    <s v="181 a 360"/>
    <s v="CPC"/>
    <x v="2"/>
  </r>
  <r>
    <s v="COGECOM"/>
    <n v="3011727484"/>
    <s v="EXPEDITO AFONSO DA SILVA TORNO RIBEIRO"/>
    <s v="OUT"/>
    <s v="OUTROS"/>
    <n v="6906398644"/>
    <x v="1"/>
    <s v="346.79"/>
    <s v="102.26"/>
    <n v="447"/>
    <s v="AG RESPOSTA 1º CONTATO"/>
    <s v="ENVIADO MSG/E-MAIL 1º CONTATO"/>
    <n v="16"/>
    <x v="18"/>
    <s v="16.54"/>
    <s v="amanda"/>
    <s v="Acima de 361"/>
    <s v="ACIONAMENTO"/>
    <x v="4"/>
  </r>
  <r>
    <s v="COGECOM"/>
    <n v="43880284"/>
    <s v="GUILHERME DOROW"/>
    <s v="OUT"/>
    <s v="OUTROS"/>
    <n v="7297642908"/>
    <x v="1"/>
    <s v="97.60"/>
    <s v="107.68"/>
    <n v="162"/>
    <s v="NÃO LOCALIZADO"/>
    <s v="ALTERACAO DEBITO"/>
    <n v="22"/>
    <x v="18"/>
    <s v="11.57"/>
    <s v="elizabel"/>
    <s v="91 a 180"/>
    <s v="ACIONAMENTO"/>
    <x v="0"/>
  </r>
  <r>
    <s v="COGECOM"/>
    <n v="3082368752"/>
    <s v="JOAO RICARDO FERRAZZA DIAS"/>
    <s v="OUT"/>
    <s v="OUTROS"/>
    <n v="40176819053"/>
    <x v="1"/>
    <s v="0.00"/>
    <s v="80.09"/>
    <n v="616"/>
    <s v="NÃO LOCALIZADO"/>
    <s v="TELEFONES SEM ATENDIMENTO"/>
    <n v="16"/>
    <x v="18"/>
    <s v="13.16"/>
    <s v="anne"/>
    <s v="Acima de 361"/>
    <s v="ACIONAMENTO"/>
    <x v="0"/>
  </r>
  <r>
    <s v="COGECOM"/>
    <n v="40443094"/>
    <s v="NS BRUNELLI BRUNELLI LTDA ME"/>
    <s v="OUT"/>
    <s v="OUTROS"/>
    <n v="74146952000154"/>
    <x v="0"/>
    <s v="7072.96"/>
    <s v="1717.81"/>
    <n v="1343"/>
    <s v="NÃO LOCALIZADO"/>
    <s v="TELEFONES SEM ATENDIMENTO"/>
    <n v="16"/>
    <x v="18"/>
    <s v="10.27"/>
    <s v="anne"/>
    <s v="Acima de 361"/>
    <s v="ACIONAMENTO"/>
    <x v="0"/>
  </r>
  <r>
    <s v="COGECOM"/>
    <n v="10032361899"/>
    <s v="SINOMAR DA SILVA"/>
    <s v="OUT"/>
    <s v="OUTROS"/>
    <n v="90438248104"/>
    <x v="1"/>
    <s v="0.00"/>
    <s v="21.63"/>
    <n v="329"/>
    <s v="ACORDO VIGENTE COLCHÃO EM DIA"/>
    <s v="ALTERACAO DEBITO"/>
    <n v="16"/>
    <x v="18"/>
    <s v="11.53"/>
    <s v="elizabel"/>
    <s v="181 a 360"/>
    <s v="ACIONAMENTO"/>
    <x v="2"/>
  </r>
  <r>
    <s v="COGECOM"/>
    <n v="77891880"/>
    <s v="TANIA MARA ALEXANDRE DA SILVA"/>
    <s v="OUT"/>
    <s v="OUTROS"/>
    <n v="3046963904"/>
    <x v="1"/>
    <s v="517.16"/>
    <s v="279.70"/>
    <n v="257"/>
    <s v="NÃO LOCALIZADO"/>
    <s v="TELEFONES SEM ATENDIMENTO"/>
    <n v="16"/>
    <x v="18"/>
    <s v="15.55"/>
    <s v="amanda"/>
    <s v="181 a 360"/>
    <s v="ACIONAMENTO"/>
    <x v="0"/>
  </r>
  <r>
    <s v="COGECOM"/>
    <n v="91682231"/>
    <s v="REINALDO VASCONCELOS DOS ANJOS"/>
    <s v="OUT"/>
    <s v="OUTROS"/>
    <n v="77335759900"/>
    <x v="1"/>
    <s v="0.00"/>
    <s v="246.11"/>
    <n v="257"/>
    <s v="ACORDO VIGENTE COLCHÃO EM DIA"/>
    <s v="ALTERACAO DEBITO"/>
    <n v="19"/>
    <x v="18"/>
    <s v="12.22"/>
    <s v="elizabel"/>
    <s v="181 a 360"/>
    <s v="ACIONAMENTO"/>
    <x v="2"/>
  </r>
  <r>
    <s v="COGECOM"/>
    <n v="84205652"/>
    <s v="ALAILSON FLORES"/>
    <s v="OUT"/>
    <s v="OUTROS"/>
    <n v="2152108914"/>
    <x v="1"/>
    <s v="359.53"/>
    <s v="55.52"/>
    <n v="157"/>
    <s v="ACORDO VIGENTE COLCHÃO EM DIA"/>
    <s v="ALTERACAO DEBITO"/>
    <n v="69"/>
    <x v="18"/>
    <s v="12.35"/>
    <s v="elizabel"/>
    <s v="91 a 180"/>
    <s v="ACIONAMENTO"/>
    <x v="2"/>
  </r>
  <r>
    <s v="COGECOM"/>
    <n v="89960823"/>
    <s v="AF PARTICIPACOES E EMPREENDIMENTOS S A"/>
    <s v="OUT"/>
    <s v="OUTROS"/>
    <n v="8620771000193"/>
    <x v="1"/>
    <s v="0.00"/>
    <s v="276.18"/>
    <n v="153"/>
    <s v="NÃO LOCALIZADO"/>
    <s v="ALTERACAO DEBITO"/>
    <n v="19"/>
    <x v="18"/>
    <s v="11.56"/>
    <s v="elizabel"/>
    <s v="91 a 180"/>
    <s v="ACIONAMENTO"/>
    <x v="0"/>
  </r>
  <r>
    <s v="COGECOM"/>
    <n v="1550036819"/>
    <s v="EDVALDO PEREIRA DA SILVA"/>
    <s v="OUT"/>
    <s v="OUTROS"/>
    <n v="76630366115"/>
    <x v="1"/>
    <s v="1418.93"/>
    <s v="215.31"/>
    <n v="136"/>
    <s v="EM NEGOCIAÇÃO"/>
    <s v="ALTERACAO DEBITO"/>
    <n v="19"/>
    <x v="18"/>
    <s v="11.59"/>
    <s v="elizabel"/>
    <s v="91 a 180"/>
    <s v="ACIONAMENTO"/>
    <x v="2"/>
  </r>
  <r>
    <s v="COGECOM"/>
    <n v="10005481544"/>
    <s v="ANTONIA REGINA ARAUJO DA SILVA"/>
    <s v="OUT"/>
    <s v="OUTROS"/>
    <n v="82030855120"/>
    <x v="1"/>
    <s v="199.59"/>
    <s v="105.08"/>
    <n v="136"/>
    <s v="EM NEGOCIAÇÃO"/>
    <s v="ALTERACAO DEBITO"/>
    <n v="19"/>
    <x v="18"/>
    <s v="15.11"/>
    <s v="luciano"/>
    <s v="91 a 180"/>
    <s v="ACIONAMENTO"/>
    <x v="2"/>
  </r>
  <r>
    <s v="COGECOM"/>
    <n v="90467264"/>
    <s v="BUSINESS SCHOOL TREINAMENTO E DESENVOLVIMENTO DE PESSOAL LTDA"/>
    <s v="OUT"/>
    <s v="OUTROS"/>
    <n v="7162052000103"/>
    <x v="1"/>
    <s v="0.00"/>
    <s v="4789.46"/>
    <n v="180"/>
    <s v="NÃO LOCALIZADO"/>
    <s v="TELEFONES SEM ATENDIMENTO"/>
    <n v="16"/>
    <x v="18"/>
    <s v="10.38"/>
    <s v="anakeppe"/>
    <s v="91 a 180"/>
    <s v="ACIONAMENTO"/>
    <x v="0"/>
  </r>
  <r>
    <s v="COGECOM"/>
    <n v="3007323003"/>
    <s v="LEANDRO PAGLIUCA CASTIGLIONI"/>
    <s v="OUT"/>
    <s v="OUTROS"/>
    <n v="9118486657"/>
    <x v="1"/>
    <s v="157.42"/>
    <s v="286.74"/>
    <n v="119"/>
    <s v="NÃO LOCALIZADO"/>
    <s v="TELEFONES SEM ATENDIMENTO"/>
    <n v="16"/>
    <x v="18"/>
    <s v="10.17"/>
    <s v="anakeppe"/>
    <s v="91 a 180"/>
    <s v="ACIONAMENTO"/>
    <x v="0"/>
  </r>
  <r>
    <s v="COGECOM"/>
    <n v="100229026"/>
    <s v="ELIANE BUDZIAK"/>
    <s v="OUT"/>
    <s v="OUTROS"/>
    <n v="3775064940"/>
    <x v="1"/>
    <s v="0.00"/>
    <s v="1243.25"/>
    <n v="116"/>
    <s v="NÃO LOCALIZADO"/>
    <s v="TELEFONES SEM ATENDIMENTO"/>
    <n v="16"/>
    <x v="18"/>
    <s v="10.46"/>
    <s v="anakeppe"/>
    <s v="91 a 180"/>
    <s v="ACIONAMENTO"/>
    <x v="0"/>
  </r>
  <r>
    <s v="COGECOM"/>
    <n v="81544294"/>
    <s v="DIEGO TORAZZI ARNDT"/>
    <s v="OUT"/>
    <s v="OUTROS"/>
    <n v="6625471950"/>
    <x v="1"/>
    <s v="1667.49"/>
    <s v="1648.17"/>
    <n v="96"/>
    <s v="NÃO LOCALIZADO"/>
    <s v="TELEFONES SEM ATENDIMENTO"/>
    <n v="16"/>
    <x v="18"/>
    <s v="13.22"/>
    <s v="anakeppe"/>
    <s v="91 a 180"/>
    <s v="ACIONAMENTO"/>
    <x v="0"/>
  </r>
  <r>
    <s v="COGECOM"/>
    <n v="3093282306"/>
    <s v="MARCOS ANTONIO ALVES DOS SANTOS"/>
    <s v="OUT"/>
    <s v="OUTROS"/>
    <n v="46098810044"/>
    <x v="1"/>
    <s v="0.00"/>
    <s v="1689.80"/>
    <n v="85"/>
    <s v="NÃO LOCALIZADO"/>
    <s v="TELEFONES SEM ATENDIMENTO"/>
    <n v="16"/>
    <x v="18"/>
    <s v="15.12"/>
    <s v="gleise"/>
    <s v="61 a 90"/>
    <s v="ACIONAMENTO"/>
    <x v="0"/>
  </r>
  <r>
    <s v="COGECOM"/>
    <n v="28244479"/>
    <s v="ADILIO FERREIRA FILHO"/>
    <s v="OUT"/>
    <s v="OUTROS"/>
    <n v="3999471913"/>
    <x v="1"/>
    <s v="0.00"/>
    <s v="36.95"/>
    <n v="66"/>
    <m/>
    <s v="ALTERACAO DEBITO"/>
    <n v="9999"/>
    <x v="18"/>
    <s v="11.50"/>
    <s v="elizabel"/>
    <s v="61 a 90"/>
    <s v="ACIONAMENTO"/>
    <x v="4"/>
  </r>
  <r>
    <s v="COGECOM"/>
    <n v="51822617"/>
    <s v="CHRYSTINA MARA PELIZER"/>
    <s v="OUT"/>
    <s v="OUTROS"/>
    <n v="8799358808"/>
    <x v="1"/>
    <s v="223.34"/>
    <s v="223.34"/>
    <n v="66"/>
    <s v="EM NEGOCIAÇÃO"/>
    <s v="NEGOCIAÇÃO VIA WHATSAPP"/>
    <n v="16"/>
    <x v="18"/>
    <s v="9.31"/>
    <s v="anne"/>
    <s v="61 a 90"/>
    <s v="CPC"/>
    <x v="2"/>
  </r>
  <r>
    <s v="COGECOM"/>
    <n v="54646577"/>
    <s v="DANIELLE IWANAGA BEZERRA DE MELO"/>
    <s v="OUT"/>
    <s v="OUTROS"/>
    <n v="6643082951"/>
    <x v="1"/>
    <s v="0.00"/>
    <s v="112.51"/>
    <n v="67"/>
    <s v="NÃO LOCALIZADO"/>
    <s v="TELEFONES SEM ATENDIMENTO"/>
    <n v="16"/>
    <x v="18"/>
    <s v="13.23"/>
    <s v="gleise"/>
    <s v="61 a 90"/>
    <s v="ACIONAMENTO"/>
    <x v="0"/>
  </r>
  <r>
    <s v="COGECOM"/>
    <n v="3014035752"/>
    <s v="DARLON DE SOUZA GONCALVES"/>
    <s v="OUT"/>
    <s v="OUTROS"/>
    <n v="64267660620"/>
    <x v="1"/>
    <s v="0.00"/>
    <s v="5698.82"/>
    <n v="96"/>
    <s v="EM NEGOCIAÇÃO"/>
    <s v="NEGOCIAÇÃO VIA WHATSAPP"/>
    <n v="16"/>
    <x v="18"/>
    <s v="10.37"/>
    <s v="anakeppe"/>
    <s v="91 a 180"/>
    <s v="CPC"/>
    <x v="2"/>
  </r>
  <r>
    <s v="COGECOM"/>
    <n v="108357651"/>
    <s v="DIEGO PARDINHO DA SILVA"/>
    <s v="OUT"/>
    <s v="OUTROS"/>
    <n v="8928261937"/>
    <x v="1"/>
    <s v="0.00"/>
    <s v="28.39"/>
    <n v="71"/>
    <s v="NÃO LOCALIZADO"/>
    <s v="TELEFONES SEM ATENDIMENTO"/>
    <n v="16"/>
    <x v="18"/>
    <s v="11.39"/>
    <s v="anakeppe"/>
    <s v="61 a 90"/>
    <s v="ACIONAMENTO"/>
    <x v="0"/>
  </r>
  <r>
    <s v="COGECOM"/>
    <n v="53770908"/>
    <s v="FABRICIO LOCH"/>
    <s v="OUT"/>
    <s v="OUTROS"/>
    <n v="9474834970"/>
    <x v="0"/>
    <s v="1665.39"/>
    <s v="903.28"/>
    <n v="66"/>
    <s v="NÃO LOCALIZADO"/>
    <s v="TELEFONES SEM ATENDIMENTO"/>
    <n v="16"/>
    <x v="18"/>
    <s v="13.10"/>
    <s v="amanda"/>
    <s v="61 a 90"/>
    <s v="ACIONAMENTO"/>
    <x v="0"/>
  </r>
  <r>
    <s v="COGECOM"/>
    <n v="46662873"/>
    <s v="IVANA BRITES PEREIRA MARTINS"/>
    <s v="OUT"/>
    <s v="OUTROS"/>
    <n v="566281104"/>
    <x v="1"/>
    <s v="0.00"/>
    <s v="250.36"/>
    <n v="66"/>
    <s v="NÃO LOCALIZADO"/>
    <s v="TELEFONES SEM ATENDIMENTO"/>
    <n v="16"/>
    <x v="18"/>
    <s v="13.14"/>
    <s v="amanda"/>
    <s v="61 a 90"/>
    <s v="ACIONAMENTO"/>
    <x v="0"/>
  </r>
  <r>
    <s v="COGECOM"/>
    <n v="48236669"/>
    <s v="JORGE LUIZ BRAIER"/>
    <s v="OUT"/>
    <s v="OUTROS"/>
    <n v="90279212968"/>
    <x v="1"/>
    <s v="0.00"/>
    <s v="2.20"/>
    <n v="66"/>
    <s v="NÃO LOCALIZADO"/>
    <s v="TELEFONES SEM ATENDIMENTO"/>
    <n v="16"/>
    <x v="18"/>
    <s v="10.16"/>
    <s v="amanda"/>
    <s v="61 a 90"/>
    <s v="ACIONAMENTO"/>
    <x v="0"/>
  </r>
  <r>
    <s v="COGECOM"/>
    <n v="68046308"/>
    <s v="KASSIM HASSAN OMAIRI"/>
    <s v="OUT"/>
    <s v="OUTROS"/>
    <n v="2488763926"/>
    <x v="0"/>
    <s v="209.85"/>
    <s v="88.38"/>
    <n v="71"/>
    <s v="EM NEGOCIAÇÃO"/>
    <s v="GERAÇÃO DE ACORDO"/>
    <n v="35"/>
    <x v="18"/>
    <s v="16.07"/>
    <s v="gleise"/>
    <s v="61 a 90"/>
    <s v="CPC"/>
    <x v="2"/>
  </r>
  <r>
    <s v="COGECOM"/>
    <n v="48675409"/>
    <s v="MARIA APARECIDA BEIRAO VARGAS"/>
    <s v="OUT"/>
    <s v="OUTROS"/>
    <n v="2627312901"/>
    <x v="1"/>
    <s v="234.92"/>
    <s v="2.51"/>
    <n v="73"/>
    <s v="AG RESPOSTA 1º CONTATO"/>
    <s v="ENVIADO MSG/E-MAIL 1º CONTATO"/>
    <n v="16"/>
    <x v="18"/>
    <s v="14.47"/>
    <s v="amanda"/>
    <s v="61 a 90"/>
    <s v="ACIONAMENTO"/>
    <x v="4"/>
  </r>
  <r>
    <s v="COGECOM"/>
    <n v="54442432"/>
    <s v="MARIANE DA ROCHA BATISTA"/>
    <s v="OUT"/>
    <s v="OUTROS"/>
    <n v="3017874095"/>
    <x v="1"/>
    <s v="0.00"/>
    <s v="43.01"/>
    <n v="71"/>
    <s v="NÃO LOCALIZADO"/>
    <s v="ALTERACAO DEBITO"/>
    <n v="19"/>
    <x v="18"/>
    <s v="11.51"/>
    <s v="elizabel"/>
    <s v="61 a 90"/>
    <s v="ACIONAMENTO"/>
    <x v="0"/>
  </r>
  <r>
    <s v="COGECOM"/>
    <n v="31870046"/>
    <s v="SUPERMERCADO JK LTDA"/>
    <s v="OUT"/>
    <s v="OUTROS"/>
    <n v="45348111000202"/>
    <x v="1"/>
    <s v="0.00"/>
    <s v="7251.60"/>
    <n v="66"/>
    <s v="NÃO LOCALIZADO"/>
    <s v="TELEFONES SEM ATENDIMENTO"/>
    <n v="16"/>
    <x v="18"/>
    <s v="13.32"/>
    <s v="gleise"/>
    <s v="61 a 90"/>
    <s v="ACIONAMENTO"/>
    <x v="0"/>
  </r>
  <r>
    <s v="COGECOM"/>
    <n v="100044967"/>
    <s v="MARCIO ANTONIO FERREIRA DE REZENDE"/>
    <s v="OUT"/>
    <s v="OUTROS"/>
    <n v="39477347191"/>
    <x v="1"/>
    <s v="118.97"/>
    <s v="124.40"/>
    <n v="58"/>
    <s v="SEM INTERESSE"/>
    <s v="NEGOCIAÇÃO VIA TELEFONE"/>
    <n v="16"/>
    <x v="18"/>
    <s v="13.41"/>
    <s v="amanda"/>
    <s v="31 a 60"/>
    <s v="CPC"/>
    <x v="1"/>
  </r>
  <r>
    <s v="COGECOM"/>
    <n v="103722220"/>
    <s v="MAURI MIRANDA JUNIOR"/>
    <s v="OUT"/>
    <s v="OUTROS"/>
    <n v="3901261958"/>
    <x v="1"/>
    <s v="0.00"/>
    <s v="299.73"/>
    <n v="53"/>
    <s v="NÃO LOCALIZADO"/>
    <s v="TELEFONES SEM ATENDIMENTO"/>
    <n v="16"/>
    <x v="18"/>
    <s v="10.25"/>
    <s v="gleise"/>
    <s v="31 a 60"/>
    <s v="ACIONAMENTO"/>
    <x v="0"/>
  </r>
  <r>
    <s v="COGECOM"/>
    <n v="9450637"/>
    <s v="MAURO THEIS"/>
    <s v="OUT"/>
    <s v="OUTROS"/>
    <n v="55104924904"/>
    <x v="1"/>
    <s v="0.00"/>
    <s v="547.97"/>
    <n v="76"/>
    <s v="NÃO LOCALIZADO"/>
    <s v="TELEFONES SEM ATENDIMENTO"/>
    <n v="16"/>
    <x v="18"/>
    <s v="11.40"/>
    <s v="gleise"/>
    <s v="61 a 90"/>
    <s v="ACIONAMENTO"/>
    <x v="0"/>
  </r>
  <r>
    <s v="COGECOM"/>
    <n v="10031385620"/>
    <s v="CLEITOMAR LIMA ALVES"/>
    <s v="OUT"/>
    <s v="OUTROS"/>
    <n v="3300163188"/>
    <x v="1"/>
    <s v="0.00"/>
    <s v="118.30"/>
    <n v="47"/>
    <s v="NÃO LOCALIZADO"/>
    <s v="TELEFONES SEM ATENDIMENTO"/>
    <n v="16"/>
    <x v="18"/>
    <s v="15.28"/>
    <s v="anakeppe"/>
    <s v="31 a 60"/>
    <s v="ACIONAMENTO"/>
    <x v="0"/>
  </r>
  <r>
    <s v="COGECOM"/>
    <n v="583626"/>
    <s v="GILBERTO NABOR DE OLIVEIRA"/>
    <s v="OUT"/>
    <s v="OUTROS"/>
    <n v="51540002934"/>
    <x v="1"/>
    <s v="0.00"/>
    <s v="300.14"/>
    <n v="47"/>
    <s v="ACORDO VIGENTE COLCHÃO EM DIA"/>
    <s v="NEGOCIAÇÃO VIA TELEFONE"/>
    <n v="16"/>
    <x v="18"/>
    <s v="14.15"/>
    <s v="amanda"/>
    <s v="31 a 60"/>
    <s v="CPC"/>
    <x v="2"/>
  </r>
  <r>
    <s v="COGECOM"/>
    <n v="1067354"/>
    <s v="JAL COMERCIO DE REFEICOES LTDA"/>
    <s v="OUT"/>
    <s v="OUTROS"/>
    <n v="80846611000194"/>
    <x v="1"/>
    <s v="0.00"/>
    <s v="2045.65"/>
    <n v="44"/>
    <s v="NÃO LOCALIZADO"/>
    <s v="TELEFONES SEM ATENDIMENTO"/>
    <n v="16"/>
    <x v="18"/>
    <s v="13.29"/>
    <s v="amanda"/>
    <s v="31 a 60"/>
    <s v="ACIONAMENTO"/>
    <x v="0"/>
  </r>
  <r>
    <s v="COGECOM"/>
    <n v="49118862"/>
    <s v="CONDOMINIO EDIFICIO PLACE DES VOSGES"/>
    <s v="OUT"/>
    <s v="OUTROS"/>
    <n v="5514535000102"/>
    <x v="1"/>
    <s v="0.00"/>
    <s v="1302.39"/>
    <n v="44"/>
    <s v="NÃO LOCALIZADO"/>
    <s v="TELEFONES SEM ATENDIMENTO"/>
    <n v="16"/>
    <x v="18"/>
    <s v="13.48"/>
    <s v="amanda"/>
    <s v="31 a 60"/>
    <s v="ACIONAMENTO"/>
    <x v="0"/>
  </r>
  <r>
    <s v="COGECOM"/>
    <n v="58880003"/>
    <s v="TUCUMANTEL E TUCUMANTEL LTDA"/>
    <s v="OUT"/>
    <s v="OUTROS"/>
    <n v="7095372000198"/>
    <x v="1"/>
    <s v="0.00"/>
    <s v="3866.35"/>
    <n v="96"/>
    <s v="NÃO LOCALIZADO"/>
    <s v="TELEFONES SEM ATENDIMENTO"/>
    <n v="16"/>
    <x v="18"/>
    <s v="13.51"/>
    <s v="gleise"/>
    <s v="91 a 180"/>
    <s v="ACIONAMENTO"/>
    <x v="0"/>
  </r>
  <r>
    <s v="COGECOM"/>
    <n v="79029981"/>
    <s v="ERNANDES MAURICIO VERTUAN"/>
    <s v="OUT"/>
    <s v="OUTROS"/>
    <n v="3666801960"/>
    <x v="1"/>
    <s v="0.00"/>
    <s v="1424.44"/>
    <n v="42"/>
    <s v="NÃO LOCALIZADO"/>
    <s v="TELEFONES SEM ATENDIMENTO"/>
    <n v="16"/>
    <x v="18"/>
    <s v="15.32"/>
    <s v="gleise"/>
    <s v="31 a 60"/>
    <s v="ACIONAMENTO"/>
    <x v="0"/>
  </r>
  <r>
    <s v="COGECOM"/>
    <n v="42068657"/>
    <s v="CONDOMÍNIO EDIFÍCIO PORTOFINO"/>
    <s v="OUT"/>
    <s v="OUTROS"/>
    <n v="6176151000181"/>
    <x v="1"/>
    <s v="0.00"/>
    <s v="2072.48"/>
    <n v="44"/>
    <s v="EM NEGOCIAÇÃO"/>
    <s v="NEGOCIAÇÃO VIA WHATSAPP"/>
    <n v="16"/>
    <x v="18"/>
    <s v="14.41"/>
    <s v="roberto"/>
    <s v="31 a 60"/>
    <s v="CPC"/>
    <x v="2"/>
  </r>
  <r>
    <s v="COGECOM"/>
    <n v="32095473"/>
    <s v="TOMAS MURARO PANIFICADORA ME"/>
    <s v="OUT"/>
    <s v="OUTROS"/>
    <n v="24103036000169"/>
    <x v="0"/>
    <s v="641.47"/>
    <s v="641.47"/>
    <n v="1781"/>
    <s v="NÃO LOCALIZADO"/>
    <s v="TELEFONES SEM ATENDIMENTO"/>
    <n v="23"/>
    <x v="18"/>
    <s v="10.58"/>
    <s v="anne"/>
    <s v="Acima de 361"/>
    <s v="ACIONAMENTO"/>
    <x v="0"/>
  </r>
  <r>
    <s v="COGECOM"/>
    <n v="32095465"/>
    <s v="TOMAS MURARO PANIFICADORA ME"/>
    <s v="OUT"/>
    <s v="OUTROS"/>
    <n v="24103036000169"/>
    <x v="0"/>
    <s v="659.18"/>
    <s v="384.33"/>
    <n v="1811"/>
    <s v="NÃO LOCALIZADO"/>
    <s v="TELEFONES SEM ATENDIMENTO"/>
    <n v="23"/>
    <x v="18"/>
    <s v="10.59"/>
    <s v="anne"/>
    <s v="Acima de 361"/>
    <s v="ACIONAMENTO"/>
    <x v="0"/>
  </r>
  <r>
    <s v="COGECOM"/>
    <n v="89236602"/>
    <s v="LUCAS DE PAULA BATISTA BIQUETI"/>
    <s v="OUT"/>
    <s v="OUTROS"/>
    <n v="8719113960"/>
    <x v="0"/>
    <s v="7643.38"/>
    <s v="2484.41"/>
    <n v="138"/>
    <s v="EM NEGOCIAÇÃO"/>
    <s v="NEGOCIAÇÃO VIA WHATSAPP"/>
    <n v="23"/>
    <x v="18"/>
    <s v="11.23"/>
    <s v="anne"/>
    <s v="91 a 180"/>
    <s v="CPC"/>
    <x v="2"/>
  </r>
  <r>
    <s v="COGECOM"/>
    <n v="94480389"/>
    <s v="EXCLUSIVA ASSESSORIA A CONDOMÍNIOS LTDA ME"/>
    <s v="OUT"/>
    <s v="OUTROS"/>
    <n v="19531659000100"/>
    <x v="0"/>
    <s v="309.07"/>
    <s v="309.07"/>
    <n v="56"/>
    <s v="NÃO LOCALIZADO"/>
    <s v="TELEFONES SEM ATENDIMENTO"/>
    <n v="23"/>
    <x v="18"/>
    <s v="14.36"/>
    <s v="amanda"/>
    <s v="31 a 60"/>
    <s v="ACIONAMENTO"/>
    <x v="0"/>
  </r>
  <r>
    <s v="COGECOM"/>
    <n v="3014042950"/>
    <s v="DARLON DE SOUZA GONCALVES"/>
    <s v="OUT"/>
    <s v="OUTROS"/>
    <n v="64267660620"/>
    <x v="1"/>
    <s v="0.00"/>
    <s v="10832.91"/>
    <n v="65"/>
    <s v="EM NEGOCIAÇÃO"/>
    <s v="NEGOCIAÇÃO VIA WHATSAPP"/>
    <n v="23"/>
    <x v="18"/>
    <s v="10.36"/>
    <s v="anakeppe"/>
    <s v="61 a 90"/>
    <s v="CPC"/>
    <x v="2"/>
  </r>
  <r>
    <s v="COGECOM"/>
    <n v="3001874425"/>
    <s v="ALINE DE CARVALHO DA SILVEIRA FERREIRA"/>
    <s v="OUT"/>
    <s v="OUTROS"/>
    <n v="5481321602"/>
    <x v="1"/>
    <s v="201.43"/>
    <s v="85.56"/>
    <n v="211"/>
    <s v="SEM INTERESSE"/>
    <s v="NEGOCIAÇÃO VIA TELEFONE"/>
    <n v="19"/>
    <x v="19"/>
    <s v="11.52"/>
    <s v="anakeppe"/>
    <s v="181 a 360"/>
    <s v="CPC"/>
    <x v="1"/>
  </r>
  <r>
    <s v="COGECOM"/>
    <n v="3004758717"/>
    <s v="ANDERSON ROBERTO CYRILLO"/>
    <s v="OUT"/>
    <s v="OUTROS"/>
    <n v="833392646"/>
    <x v="1"/>
    <s v="0.00"/>
    <s v="116.71"/>
    <n v="190"/>
    <s v="NÃO LOCALIZADO"/>
    <s v="ALTERACAO DEBITO"/>
    <n v="27"/>
    <x v="19"/>
    <s v="12.34"/>
    <s v="elizabel"/>
    <s v="181 a 360"/>
    <s v="ACIONAMENTO"/>
    <x v="0"/>
  </r>
  <r>
    <s v="COGECOM"/>
    <n v="82091560"/>
    <s v="CECILIA BORGES DA CRUZ"/>
    <s v="OUT"/>
    <s v="OUTROS"/>
    <n v="4730910974"/>
    <x v="1"/>
    <s v="242.51"/>
    <s v="289.76"/>
    <n v="214"/>
    <s v="NÃO LOCALIZADO"/>
    <s v="TELEFONES SEM ATENDIMENTO"/>
    <n v="19"/>
    <x v="19"/>
    <s v="11.04"/>
    <s v="amanda"/>
    <s v="181 a 360"/>
    <s v="ACIONAMENTO"/>
    <x v="0"/>
  </r>
  <r>
    <s v="COGECOM"/>
    <n v="3001871109"/>
    <s v="MARIA DA CONCEIÇÃO TEMPONI CAMPOS"/>
    <s v="OUT"/>
    <s v="OUTROS"/>
    <n v="79724116620"/>
    <x v="1"/>
    <s v="0.00"/>
    <s v="750.22"/>
    <n v="189"/>
    <s v="SEM INTERESSE"/>
    <s v="NEGOCIAÇÃO VIA TELEFONE"/>
    <n v="19"/>
    <x v="19"/>
    <s v="10.29"/>
    <s v="amanda"/>
    <s v="181 a 360"/>
    <s v="CPC"/>
    <x v="1"/>
  </r>
  <r>
    <s v="COGECOM"/>
    <n v="41163038"/>
    <s v="Nelson Paiva Júnior"/>
    <s v="OUT"/>
    <s v="OUTROS"/>
    <n v="68235437015"/>
    <x v="1"/>
    <s v="438.90"/>
    <s v="178.23"/>
    <n v="218"/>
    <s v="NÃO LOCALIZADO"/>
    <s v="TELEFONES SEM ATENDIMENTO"/>
    <n v="19"/>
    <x v="19"/>
    <s v="11.05"/>
    <s v="amanda"/>
    <s v="181 a 360"/>
    <s v="ACIONAMENTO"/>
    <x v="0"/>
  </r>
  <r>
    <s v="COGECOM"/>
    <n v="29652480"/>
    <s v="RTK COMÉRCIO DE ALIMENTOS LTDA"/>
    <s v="OUT"/>
    <s v="OUTROS"/>
    <n v="97465769000117"/>
    <x v="1"/>
    <s v="0.00"/>
    <s v="2501.29"/>
    <n v="1443"/>
    <s v="NÃO LOCALIZADO"/>
    <s v="TELEFONES SEM ATENDIMENTO"/>
    <n v="19"/>
    <x v="19"/>
    <s v="14.08"/>
    <s v="anakeppe"/>
    <s v="Acima de 361"/>
    <s v="ACIONAMENTO"/>
    <x v="0"/>
  </r>
  <r>
    <s v="COGECOM"/>
    <n v="87779293"/>
    <s v="SORVETERIA BEIJA FLOR LTDA"/>
    <s v="OUT"/>
    <s v="OUTROS"/>
    <n v="79762050000166"/>
    <x v="0"/>
    <s v="4073.14"/>
    <s v="1210.11"/>
    <n v="1404"/>
    <s v="SEM INTERESSE"/>
    <s v="NEGOCIAÇÃO VIA TELEFONE"/>
    <n v="19"/>
    <x v="19"/>
    <s v="14.08"/>
    <s v="amanda"/>
    <s v="Acima de 361"/>
    <s v="CPC"/>
    <x v="1"/>
  </r>
  <r>
    <s v="COGECOM"/>
    <n v="4001508526"/>
    <s v="Taiane Andrade Zimmer"/>
    <s v="OUT"/>
    <s v="OUTROS"/>
    <n v="99534410063"/>
    <x v="1"/>
    <s v="171.97"/>
    <s v="149.91"/>
    <n v="265"/>
    <s v="NÃO LOCALIZADO"/>
    <s v="TELEFONES SEM ATENDIMENTO"/>
    <n v="19"/>
    <x v="19"/>
    <s v="11.06"/>
    <s v="amanda"/>
    <s v="181 a 360"/>
    <s v="ACIONAMENTO"/>
    <x v="0"/>
  </r>
  <r>
    <s v="COGECOM"/>
    <n v="10033868237"/>
    <s v="VANILA MARIA DA COSTA"/>
    <s v="OUT"/>
    <s v="OUTROS"/>
    <n v="4027578155"/>
    <x v="1"/>
    <s v="0.00"/>
    <s v="48.86"/>
    <n v="187"/>
    <s v="SEM INTERESSE"/>
    <s v="NEGOCIAÇÃO VIA WHATSAPP"/>
    <n v="19"/>
    <x v="19"/>
    <s v="11.58"/>
    <s v="amanda"/>
    <s v="181 a 360"/>
    <s v="CPC"/>
    <x v="1"/>
  </r>
  <r>
    <s v="COGECOM"/>
    <n v="96689447"/>
    <s v="LUIZ GUSTAVO SANTOS COLOMBO"/>
    <s v="OUT"/>
    <s v="OUTROS"/>
    <n v="2627024957"/>
    <x v="1"/>
    <s v="463.34"/>
    <s v="463.34"/>
    <n v="148"/>
    <s v="ACORDO VIGENTE COLCHÃO EM DIA"/>
    <s v="NEGOCIAÇÃO VIA WHATSAPP"/>
    <n v="19"/>
    <x v="19"/>
    <s v="11.46"/>
    <s v="amanda"/>
    <s v="91 a 180"/>
    <s v="CPC"/>
    <x v="2"/>
  </r>
  <r>
    <s v="COGECOM"/>
    <n v="87549786"/>
    <s v="ANDREZA MARIA TOMIO GONCALVES RIBEIRO"/>
    <s v="OUT"/>
    <s v="OUTROS"/>
    <n v="4865593942"/>
    <x v="1"/>
    <s v="279.24"/>
    <s v="208.04"/>
    <n v="152"/>
    <s v="SEM INTERESSE"/>
    <s v="NEGOCIAÇÃO VIA TELEFONE"/>
    <n v="19"/>
    <x v="19"/>
    <s v="14.36"/>
    <s v="amanda"/>
    <s v="91 a 180"/>
    <s v="CPC"/>
    <x v="1"/>
  </r>
  <r>
    <s v="COGECOM"/>
    <n v="10934120"/>
    <s v="MARLENE ROSA DOS SANTOS"/>
    <s v="OUT"/>
    <s v="OUTROS"/>
    <n v="27054869842"/>
    <x v="0"/>
    <s v="966.46"/>
    <s v="142.19"/>
    <n v="143"/>
    <s v="EM NEGOCIAÇÃO"/>
    <s v="NEGOCIAÇÃO VIA TELEFONE"/>
    <n v="19"/>
    <x v="19"/>
    <s v="9.29"/>
    <s v="anne"/>
    <s v="91 a 180"/>
    <s v="CPC"/>
    <x v="2"/>
  </r>
  <r>
    <s v="COGECOM"/>
    <n v="10030658860"/>
    <s v="KODI ORIHASHI"/>
    <s v="OUT"/>
    <s v="OUTROS"/>
    <n v="25100912200"/>
    <x v="1"/>
    <s v="301.84"/>
    <s v="132.84"/>
    <n v="136"/>
    <s v="ACORDO VIGENTE COLCHÃO EM DIA"/>
    <s v="NEGOCIAÇÃO VIA WHATSAPP"/>
    <n v="19"/>
    <x v="19"/>
    <s v="9.39"/>
    <s v="amanda"/>
    <s v="91 a 180"/>
    <s v="CPC"/>
    <x v="2"/>
  </r>
  <r>
    <s v="COGECOM"/>
    <n v="79582370"/>
    <s v="MARCELO ALVES DA SILVA"/>
    <s v="OUT"/>
    <s v="OUTROS"/>
    <n v="1766782981"/>
    <x v="1"/>
    <s v="0.00"/>
    <s v="234.04"/>
    <n v="87"/>
    <s v="EM NEGOCIAÇÃO"/>
    <s v="NEGOCIAÇÃO VIA TELEFONE"/>
    <n v="19"/>
    <x v="19"/>
    <s v="14.45"/>
    <s v="gleise"/>
    <s v="61 a 90"/>
    <s v="CPC"/>
    <x v="2"/>
  </r>
  <r>
    <s v="COGECOM"/>
    <n v="96968834"/>
    <s v="GREYCE KELY WISBECK DE CASTRO"/>
    <s v="OUT"/>
    <s v="OUTROS"/>
    <n v="9273973906"/>
    <x v="1"/>
    <s v="0.00"/>
    <s v="1000.63"/>
    <n v="91"/>
    <s v="SEM INTERESSE"/>
    <s v="NEGOCIAÇÃO VIA WHATSAPP"/>
    <n v="19"/>
    <x v="19"/>
    <s v="16.50"/>
    <s v="amanda"/>
    <s v="91 a 180"/>
    <s v="CPC"/>
    <x v="1"/>
  </r>
  <r>
    <s v="COGECOM"/>
    <n v="15472418"/>
    <s v="GERALDO HENRIQUE DOS SANTOS"/>
    <s v="OUT"/>
    <s v="OUTROS"/>
    <n v="93737971900"/>
    <x v="1"/>
    <s v="23.09"/>
    <s v="23.09"/>
    <n v="71"/>
    <s v="NÃO LOCALIZADO"/>
    <s v="TELEFONES SEM ATENDIMENTO"/>
    <n v="19"/>
    <x v="19"/>
    <s v="16.13"/>
    <s v="gleise"/>
    <s v="61 a 90"/>
    <s v="ACIONAMENTO"/>
    <x v="0"/>
  </r>
  <r>
    <s v="COGECOM"/>
    <n v="10018474339"/>
    <s v="GLESIO AILTON PEIXOTO"/>
    <s v="OUT"/>
    <s v="OUTROS"/>
    <n v="1305606183"/>
    <x v="1"/>
    <s v="0.00"/>
    <s v="103.10"/>
    <n v="70"/>
    <s v="EM NEGOCIAÇÃO"/>
    <s v="NEGOCIAÇÃO VIA WHATSAPP"/>
    <n v="19"/>
    <x v="19"/>
    <s v="9.40"/>
    <s v="anne"/>
    <s v="61 a 90"/>
    <s v="CPC"/>
    <x v="2"/>
  </r>
  <r>
    <s v="COGECOM"/>
    <n v="45323994"/>
    <s v="SANDRO MARTINS"/>
    <s v="OUT"/>
    <s v="OUTROS"/>
    <n v="6078225979"/>
    <x v="1"/>
    <s v="0.00"/>
    <s v="236.57"/>
    <n v="66"/>
    <s v="EM NEGOCIAÇÃO"/>
    <s v="NEGOCIAÇÃO VIA TELEFONE"/>
    <n v="19"/>
    <x v="19"/>
    <s v="14.47"/>
    <s v="amanda"/>
    <s v="61 a 90"/>
    <s v="CPC"/>
    <x v="2"/>
  </r>
  <r>
    <s v="COGECOM"/>
    <n v="1390074538"/>
    <s v="ELENILDA ALVES BEZERRA"/>
    <s v="OUT"/>
    <s v="OUTROS"/>
    <n v="42446724191"/>
    <x v="1"/>
    <s v="0.00"/>
    <s v="150.02"/>
    <n v="53"/>
    <s v="SEM INTERESSE"/>
    <s v="NEGOCIAÇÃO VIA TELEFONE"/>
    <n v="19"/>
    <x v="19"/>
    <s v="16.22"/>
    <s v="gleise"/>
    <s v="31 a 60"/>
    <s v="CPC"/>
    <x v="1"/>
  </r>
  <r>
    <s v="COGECOM"/>
    <n v="10009308774"/>
    <s v="JOSE ROBERTO FREITAS MACHADO"/>
    <s v="OUT"/>
    <s v="OUTROS"/>
    <n v="91944058168"/>
    <x v="1"/>
    <s v="0.00"/>
    <s v="124.91"/>
    <n v="53"/>
    <s v="NÃO LOCALIZADO"/>
    <s v="TELEFONES SEM ATENDIMENTO"/>
    <n v="19"/>
    <x v="19"/>
    <s v="16.56"/>
    <s v="anakeppe"/>
    <s v="31 a 60"/>
    <s v="ACIONAMENTO"/>
    <x v="0"/>
  </r>
  <r>
    <s v="COGECOM"/>
    <n v="3001792202"/>
    <s v="JASON GOMES DA CRUZ"/>
    <s v="OUT"/>
    <s v="OUTROS"/>
    <n v="56325312600"/>
    <x v="1"/>
    <s v="0.00"/>
    <s v="122.35"/>
    <n v="53"/>
    <s v="EM NEGOCIAÇÃO"/>
    <s v="NEGOCIAÇÃO VIA WHATSAPP"/>
    <n v="19"/>
    <x v="19"/>
    <s v="16.05"/>
    <s v="anakeppe"/>
    <s v="31 a 60"/>
    <s v="CPC"/>
    <x v="2"/>
  </r>
  <r>
    <s v="COGECOM"/>
    <n v="94776032"/>
    <s v="CONDOMINIO EDIFICIO PRIVILEGE"/>
    <s v="OUT"/>
    <s v="OUTROS"/>
    <n v="20673116000107"/>
    <x v="1"/>
    <s v="0.00"/>
    <s v="16072.74"/>
    <n v="70"/>
    <s v="EM NEGOCIAÇÃO"/>
    <s v="NEGOCIAÇÃO VIA WHATSAPP"/>
    <n v="19"/>
    <x v="19"/>
    <s v="12.51"/>
    <s v="roberto"/>
    <s v="61 a 90"/>
    <s v="CPC"/>
    <x v="2"/>
  </r>
  <r>
    <s v="COGECOM"/>
    <n v="4002528806"/>
    <s v="ANDRÉ RICARDO PEREIRA SILVÉRIO"/>
    <s v="OUT"/>
    <s v="OUTROS"/>
    <n v="50875701000"/>
    <x v="1"/>
    <s v="489.19"/>
    <s v="306.14"/>
    <n v="319"/>
    <s v="NÃO LOCALIZADO"/>
    <s v="TELEFONES SEM ATENDIMENTO"/>
    <n v="20"/>
    <x v="20"/>
    <s v="10.40"/>
    <s v="anne"/>
    <s v="181 a 360"/>
    <s v="ACIONAMENTO"/>
    <x v="0"/>
  </r>
  <r>
    <s v="COGECOM"/>
    <n v="10035592204"/>
    <s v="CLEITON LUIZ DA SILVA"/>
    <s v="OUT"/>
    <s v="OUTROS"/>
    <n v="79116108"/>
    <x v="1"/>
    <s v="0.00"/>
    <s v="55.76"/>
    <n v="186"/>
    <s v="SEM INTERESSE"/>
    <s v="NEGOCIAÇÃO VIA TELEFONE"/>
    <n v="20"/>
    <x v="20"/>
    <s v="9.23"/>
    <s v="gleise"/>
    <s v="181 a 360"/>
    <s v="CPC"/>
    <x v="1"/>
  </r>
  <r>
    <s v="COGECOM"/>
    <n v="72487186"/>
    <s v="Cleverson de Freitas"/>
    <s v="OUT"/>
    <s v="OUTROS"/>
    <n v="2858097925"/>
    <x v="1"/>
    <s v="627.25"/>
    <s v="392.56"/>
    <n v="271"/>
    <s v="NÃO LOCALIZADO"/>
    <s v="TELEFONES SEM ATENDIMENTO"/>
    <n v="20"/>
    <x v="20"/>
    <s v="11.38"/>
    <s v="amanda"/>
    <s v="181 a 360"/>
    <s v="ACIONAMENTO"/>
    <x v="0"/>
  </r>
  <r>
    <s v="COGECOM"/>
    <n v="42632285"/>
    <s v="CRISTIANE ROSA DE CAMPOS"/>
    <s v="OUT"/>
    <s v="OUTROS"/>
    <n v="1659005981"/>
    <x v="1"/>
    <s v="581.83"/>
    <s v="156.18"/>
    <n v="400"/>
    <s v="NÃO LOCALIZADO"/>
    <s v="TELEFONES SEM ATENDIMENTO"/>
    <n v="20"/>
    <x v="20"/>
    <s v="15.25"/>
    <s v="amanda"/>
    <s v="Acima de 361"/>
    <s v="ACIONAMENTO"/>
    <x v="0"/>
  </r>
  <r>
    <s v="COGECOM"/>
    <n v="43619690"/>
    <s v="HARRISON WAGNER VICTORINO DE MOURA"/>
    <s v="OUT"/>
    <s v="OUTROS"/>
    <n v="3574811942"/>
    <x v="1"/>
    <s v="416.15"/>
    <s v="217.22"/>
    <n v="469"/>
    <s v="NÃO LOCALIZADO"/>
    <s v="TELEFONES SEM ATENDIMENTO"/>
    <n v="20"/>
    <x v="20"/>
    <s v="9.31"/>
    <s v="amanda"/>
    <s v="Acima de 361"/>
    <s v="ACIONAMENTO"/>
    <x v="0"/>
  </r>
  <r>
    <s v="COGECOM"/>
    <n v="17062962"/>
    <s v="JOSÉ ARIMATEIA SILVA FILHO"/>
    <s v="OUT"/>
    <s v="OUTROS"/>
    <n v="66828228200"/>
    <x v="0"/>
    <s v="540.10"/>
    <s v="76.91"/>
    <n v="202"/>
    <s v="NÃO LOCALIZADO"/>
    <s v="TELEFONES SEM ATENDIMENTO"/>
    <n v="20"/>
    <x v="20"/>
    <s v="11.19"/>
    <s v="anne"/>
    <s v="181 a 360"/>
    <s v="ACIONAMENTO"/>
    <x v="0"/>
  </r>
  <r>
    <s v="COGECOM"/>
    <n v="60109343"/>
    <s v="LAERTES ROGERIO BERBEK"/>
    <s v="OUT"/>
    <s v="OUTROS"/>
    <n v="79231225987"/>
    <x v="0"/>
    <s v="573.87"/>
    <s v="243.16"/>
    <n v="195"/>
    <s v="EM NEGOCIAÇÃO"/>
    <s v="NEGOCIAÇÃO VIA WHATSAPP"/>
    <n v="20"/>
    <x v="20"/>
    <s v="9.16"/>
    <s v="anne"/>
    <s v="181 a 360"/>
    <s v="CPC"/>
    <x v="2"/>
  </r>
  <r>
    <s v="COGECOM"/>
    <n v="85028304"/>
    <s v="LUIZ GEOVANI FRANÇA"/>
    <s v="OUT"/>
    <s v="OUTROS"/>
    <n v="7103094900"/>
    <x v="1"/>
    <s v="0.00"/>
    <s v="12.23"/>
    <n v="231"/>
    <s v="NÃO LOCALIZADO"/>
    <s v="TELEFONES SEM ATENDIMENTO"/>
    <n v="20"/>
    <x v="20"/>
    <s v="13.58"/>
    <s v="anakeppe"/>
    <s v="181 a 360"/>
    <s v="ACIONAMENTO"/>
    <x v="0"/>
  </r>
  <r>
    <s v="COGECOM"/>
    <n v="10024486831"/>
    <s v="MARIA AUREA DA SILVA SOUSA"/>
    <s v="OUT"/>
    <s v="OUTROS"/>
    <n v="63479320163"/>
    <x v="1"/>
    <s v="0.00"/>
    <s v="61.53"/>
    <n v="218"/>
    <s v="NÃO LOCALIZADO"/>
    <s v="TELEFONES SEM ATENDIMENTO"/>
    <n v="20"/>
    <x v="20"/>
    <s v="16.31"/>
    <s v="gleise"/>
    <s v="181 a 360"/>
    <s v="ACIONAMENTO"/>
    <x v="0"/>
  </r>
  <r>
    <s v="COGECOM"/>
    <n v="110996003"/>
    <s v="RENATO BERNARDO DA SILVA"/>
    <s v="OUT"/>
    <s v="OUTROS"/>
    <n v="7809993984"/>
    <x v="1"/>
    <s v="104.83"/>
    <s v="252.11"/>
    <n v="186"/>
    <s v="EM NEGOCIAÇÃO"/>
    <s v="NEGOCIAÇÃO VIA WHATSAPP"/>
    <n v="20"/>
    <x v="20"/>
    <s v="9.03"/>
    <s v="anne"/>
    <s v="181 a 360"/>
    <s v="CPC"/>
    <x v="2"/>
  </r>
  <r>
    <s v="COGECOM"/>
    <n v="43488759"/>
    <s v="RODRIGO MATOS DOS PASSOS"/>
    <s v="OUT"/>
    <s v="OUTROS"/>
    <n v="7544156940"/>
    <x v="1"/>
    <s v="0.00"/>
    <s v="113.99"/>
    <n v="180"/>
    <s v="NÃO LOCALIZADO"/>
    <s v="PESQUISA NEGATIVA"/>
    <n v="20"/>
    <x v="20"/>
    <s v="14.58"/>
    <s v="amanda"/>
    <s v="91 a 180"/>
    <s v="ACIONAMENTO"/>
    <x v="0"/>
  </r>
  <r>
    <s v="COGECOM"/>
    <n v="18910497"/>
    <s v="SIRLEI LUCIDONIO MELO"/>
    <s v="OUT"/>
    <s v="OUTROS"/>
    <n v="71996818953"/>
    <x v="1"/>
    <s v="0.00"/>
    <s v="209.60"/>
    <n v="405"/>
    <s v="SEM INTERESSE"/>
    <s v="NEGOCIAÇÃO VIA TELEFONE"/>
    <n v="20"/>
    <x v="20"/>
    <s v="16.56"/>
    <s v="gleise"/>
    <s v="Acima de 361"/>
    <s v="CPC"/>
    <x v="1"/>
  </r>
  <r>
    <s v="COGECOM"/>
    <n v="4002775880"/>
    <s v="WILLIAN CESAR PINHEIRO"/>
    <s v="OUT"/>
    <s v="OUTROS"/>
    <n v="1884101046"/>
    <x v="1"/>
    <s v="153.85"/>
    <s v="164.93"/>
    <n v="324"/>
    <s v="NÃO LOCALIZADO"/>
    <s v="TELEFONES SEM ATENDIMENTO"/>
    <n v="20"/>
    <x v="20"/>
    <s v="14.33"/>
    <s v="amanda"/>
    <s v="181 a 360"/>
    <s v="ACIONAMENTO"/>
    <x v="0"/>
  </r>
  <r>
    <s v="COGECOM"/>
    <n v="4232763"/>
    <s v="UNIMED PONTA GROSSA COOPERATIVA DE TRABALHO MÉDICO"/>
    <s v="OUT"/>
    <s v="OUTROS"/>
    <n v="77781706000162"/>
    <x v="1"/>
    <s v="0.00"/>
    <s v="596.11"/>
    <n v="234"/>
    <s v="NÃO LOCALIZADO"/>
    <s v="TELEFONES SEM ATENDIMENTO"/>
    <n v="20"/>
    <x v="20"/>
    <s v="16.23"/>
    <s v="amanda"/>
    <s v="181 a 360"/>
    <s v="ACIONAMENTO"/>
    <x v="0"/>
  </r>
  <r>
    <s v="COGECOM"/>
    <n v="77300491"/>
    <s v="EDILAINE DE SOUZA"/>
    <s v="OUT"/>
    <s v="OUTROS"/>
    <n v="6161732963"/>
    <x v="1"/>
    <s v="666.77"/>
    <s v="399.15"/>
    <n v="179"/>
    <s v="NÃO LOCALIZADO"/>
    <s v="TELEFONES SEM ATENDIMENTO"/>
    <n v="20"/>
    <x v="20"/>
    <s v="16.17"/>
    <s v="amanda"/>
    <s v="91 a 180"/>
    <s v="ACIONAMENTO"/>
    <x v="0"/>
  </r>
  <r>
    <s v="COGECOM"/>
    <n v="65149033"/>
    <s v="Thaísa Salles Pereira"/>
    <s v="OUT"/>
    <s v="OUTROS"/>
    <n v="2603400908"/>
    <x v="1"/>
    <s v="342.87"/>
    <s v="342.87"/>
    <n v="182"/>
    <s v="NÃO LOCALIZADO"/>
    <s v="TELEFONES SEM ATENDIMENTO"/>
    <n v="20"/>
    <x v="20"/>
    <s v="11.22"/>
    <s v="amanda"/>
    <s v="181 a 360"/>
    <s v="ACIONAMENTO"/>
    <x v="0"/>
  </r>
  <r>
    <s v="COGECOM"/>
    <n v="2960075979"/>
    <s v="EDIVAR RAMOS DE ARAUJO"/>
    <s v="OUT"/>
    <s v="OUTROS"/>
    <n v="83130810153"/>
    <x v="1"/>
    <s v="449.46"/>
    <s v="149.39"/>
    <n v="163"/>
    <s v="SEM INTERESSE"/>
    <s v="SEM INTERESSE"/>
    <n v="20"/>
    <x v="20"/>
    <s v="13.15"/>
    <s v="amanda"/>
    <s v="91 a 180"/>
    <s v="CPC"/>
    <x v="1"/>
  </r>
  <r>
    <s v="COGECOM"/>
    <n v="3003035593"/>
    <s v="MARIA DA CONCEICAO VIANA"/>
    <s v="OUT"/>
    <s v="OUTROS"/>
    <n v="8076447658"/>
    <x v="0"/>
    <s v="470.81"/>
    <s v="389.34"/>
    <n v="144"/>
    <s v="NÃO LOCALIZADO"/>
    <s v="TELEFONES SEM ATENDIMENTO"/>
    <n v="20"/>
    <x v="20"/>
    <s v="14.24"/>
    <s v="anakeppe"/>
    <s v="91 a 180"/>
    <s v="ACIONAMENTO"/>
    <x v="0"/>
  </r>
  <r>
    <s v="COGECOM"/>
    <n v="3010495325"/>
    <s v="LINDALVA HELENA DE OLIVEIRA"/>
    <s v="OUT"/>
    <s v="OUTROS"/>
    <n v="73623920606"/>
    <x v="1"/>
    <s v="150.74"/>
    <s v="150.74"/>
    <n v="146"/>
    <s v="NÃO LOCALIZADO"/>
    <s v="TELEFONES SEM ATENDIMENTO"/>
    <n v="20"/>
    <x v="20"/>
    <s v="10.39"/>
    <s v="gleise"/>
    <s v="91 a 180"/>
    <s v="ACIONAMENTO"/>
    <x v="0"/>
  </r>
  <r>
    <s v="COGECOM"/>
    <n v="25592173"/>
    <s v="ANTONIO DIONEL TEIXEIRA TRAPPEL"/>
    <s v="OUT"/>
    <s v="OUTROS"/>
    <n v="8839319905"/>
    <x v="1"/>
    <s v="911.25"/>
    <s v="320.35"/>
    <n v="130"/>
    <s v="NÃO LOCALIZADO"/>
    <s v="TELEFONES SEM ATENDIMENTO"/>
    <n v="20"/>
    <x v="20"/>
    <s v="11.38"/>
    <s v="amanda"/>
    <s v="91 a 180"/>
    <s v="ACIONAMENTO"/>
    <x v="0"/>
  </r>
  <r>
    <s v="COGECOM"/>
    <n v="12067283"/>
    <s v="ELISA FLÁVIA GONZAGA MENDES DA FÉ"/>
    <s v="OUT"/>
    <s v="OUTROS"/>
    <n v="3166517103"/>
    <x v="1"/>
    <s v="22.47"/>
    <s v="22.47"/>
    <n v="96"/>
    <s v="NÃO LOCALIZADO"/>
    <s v="TELEFONES SEM ATENDIMENTO"/>
    <n v="20"/>
    <x v="20"/>
    <s v="15.41"/>
    <s v="amanda"/>
    <s v="91 a 180"/>
    <s v="ACIONAMENTO"/>
    <x v="0"/>
  </r>
  <r>
    <s v="COGECOM"/>
    <n v="2574306"/>
    <s v="ALICE CIPRIANO DOS SANTOS"/>
    <s v="OUT"/>
    <s v="OUTROS"/>
    <n v="57239150968"/>
    <x v="0"/>
    <s v="100.37"/>
    <s v="100.37"/>
    <n v="66"/>
    <m/>
    <s v="ESTORNO"/>
    <n v="9999"/>
    <x v="20"/>
    <s v="14.13"/>
    <s v="p.quadros"/>
    <s v="61 a 90"/>
    <s v="ACIONAMENTO"/>
    <x v="4"/>
  </r>
  <r>
    <s v="COGECOM"/>
    <n v="84881992"/>
    <s v="DIRCE MARIA DE SOUZA ROCHA"/>
    <s v="OUT"/>
    <s v="OUTROS"/>
    <n v="83880488991"/>
    <x v="1"/>
    <s v="0.00"/>
    <s v="1154.62"/>
    <n v="69"/>
    <s v="NÃO LOCALIZADO"/>
    <s v="TELEFONES SEM ATENDIMENTO"/>
    <n v="20"/>
    <x v="20"/>
    <s v="14.40"/>
    <s v="anakeppe"/>
    <s v="61 a 90"/>
    <s v="ACIONAMENTO"/>
    <x v="0"/>
  </r>
  <r>
    <s v="COGECOM"/>
    <n v="43304143"/>
    <s v="JOSIANE DE CAMPOS"/>
    <s v="OUT"/>
    <s v="OUTROS"/>
    <n v="412360926"/>
    <x v="1"/>
    <s v="40.24"/>
    <s v="40.24"/>
    <n v="73"/>
    <s v="NÃO LOCALIZADO"/>
    <s v="TELEFONES SEM ATENDIMENTO"/>
    <n v="20"/>
    <x v="20"/>
    <s v="11.04"/>
    <s v="anakeppe"/>
    <s v="61 a 90"/>
    <s v="ACIONAMENTO"/>
    <x v="0"/>
  </r>
  <r>
    <s v="COGECOM"/>
    <n v="2107236"/>
    <s v="NORTON NICHELLE"/>
    <s v="OUT"/>
    <s v="OUTROS"/>
    <n v="7692813973"/>
    <x v="1"/>
    <s v="1359.08"/>
    <s v="1359.08"/>
    <n v="42"/>
    <s v="AG RESPOSTA 1º CONTATO"/>
    <s v="ESTORNO"/>
    <n v="36"/>
    <x v="20"/>
    <s v="14.15"/>
    <s v="p.quadros"/>
    <s v="31 a 60"/>
    <s v="ACIONAMENTO"/>
    <x v="4"/>
  </r>
  <r>
    <s v="COGECOM"/>
    <n v="10013596738"/>
    <s v="JOSÉ ARIMATEIA SILVA FILHO"/>
    <s v="OUT"/>
    <s v="OUTROS"/>
    <n v="66828228200"/>
    <x v="0"/>
    <s v="144.74"/>
    <s v="48.25"/>
    <n v="182"/>
    <s v="NÃO LOCALIZADO"/>
    <s v="TELEFONES SEM ATENDIMENTO"/>
    <n v="27"/>
    <x v="20"/>
    <s v="11.19"/>
    <s v="anne"/>
    <s v="181 a 360"/>
    <s v="ACIONAMENTO"/>
    <x v="0"/>
  </r>
  <r>
    <s v="COGECOM"/>
    <n v="10014617119"/>
    <s v="Rodrigo Bocchi de Macedo"/>
    <s v="OUT"/>
    <s v="OUTROS"/>
    <n v="1683341198"/>
    <x v="1"/>
    <s v="409.83"/>
    <s v="229.93"/>
    <n v="327"/>
    <s v="NÃO LOCALIZADO"/>
    <s v="TELEFONES SEM ATENDIMENTO"/>
    <n v="21"/>
    <x v="21"/>
    <s v="11.57"/>
    <s v="anakeppe"/>
    <s v="181 a 360"/>
    <s v="ACIONAMENTO"/>
    <x v="0"/>
  </r>
  <r>
    <s v="COGECOM"/>
    <n v="3085748702"/>
    <s v="Bruno Leonardo Borges"/>
    <s v="OUT"/>
    <s v="OUTROS"/>
    <n v="84831456004"/>
    <x v="1"/>
    <s v="164.28"/>
    <s v="214.63"/>
    <n v="206"/>
    <s v="EM NEGOCIAÇÃO"/>
    <s v="NEGOCIAÇÃO VIA TELEFONE"/>
    <n v="21"/>
    <x v="21"/>
    <s v="15.48"/>
    <s v="anne"/>
    <s v="181 a 360"/>
    <s v="CPC"/>
    <x v="2"/>
  </r>
  <r>
    <s v="COGECOM"/>
    <n v="90001990"/>
    <s v="CHRISTIANE TEIXEIRA OLIVEIRA MATTANA"/>
    <s v="OUT"/>
    <s v="OUTROS"/>
    <n v="13818331871"/>
    <x v="1"/>
    <s v="0.00"/>
    <s v="123.86"/>
    <n v="191"/>
    <s v="SEM INTERESSE"/>
    <s v="NEGOCIAÇÃO VIA TELEFONE"/>
    <n v="21"/>
    <x v="21"/>
    <s v="10.53"/>
    <s v="amanda"/>
    <s v="181 a 360"/>
    <s v="CPC"/>
    <x v="1"/>
  </r>
  <r>
    <s v="COGECOM"/>
    <n v="37283391"/>
    <s v="CLAUDIA REGINA BRANDAO DE PINHO"/>
    <s v="OUT"/>
    <s v="OUTROS"/>
    <n v="1053764774"/>
    <x v="1"/>
    <s v="0.00"/>
    <s v="489.70"/>
    <n v="191"/>
    <s v="NÃO LOCALIZADO"/>
    <s v="TELEFONES SEM ATENDIMENTO"/>
    <n v="21"/>
    <x v="21"/>
    <s v="11.22"/>
    <s v="gleise"/>
    <s v="181 a 360"/>
    <s v="ACIONAMENTO"/>
    <x v="0"/>
  </r>
  <r>
    <s v="COGECOM"/>
    <n v="20354162"/>
    <s v="EMERSON JOVERTINO"/>
    <s v="OUT"/>
    <s v="OUTROS"/>
    <n v="61731676115"/>
    <x v="1"/>
    <s v="0.00"/>
    <s v="21.63"/>
    <n v="220"/>
    <s v="NÃO LOCALIZADO"/>
    <s v="TELEFONES SEM ATENDIMENTO"/>
    <n v="21"/>
    <x v="21"/>
    <s v="10.18"/>
    <s v="amanda"/>
    <s v="181 a 360"/>
    <s v="ACIONAMENTO"/>
    <x v="0"/>
  </r>
  <r>
    <s v="COGECOM"/>
    <n v="47483581"/>
    <s v="JULIANA CAMILA SCHUART"/>
    <s v="OUT"/>
    <s v="OUTROS"/>
    <n v="5838710977"/>
    <x v="1"/>
    <s v="0.00"/>
    <s v="102.88"/>
    <n v="177"/>
    <s v="NÃO LOCALIZADO"/>
    <s v="TELEFONES SEM ATENDIMENTO"/>
    <n v="21"/>
    <x v="21"/>
    <s v="9.35"/>
    <s v="amanda"/>
    <s v="91 a 180"/>
    <s v="ACIONAMENTO"/>
    <x v="0"/>
  </r>
  <r>
    <s v="COGECOM"/>
    <n v="3091277300"/>
    <s v="MARIA LUCIA BAPTISTA"/>
    <s v="OUT"/>
    <s v="OUTROS"/>
    <n v="70986878049"/>
    <x v="1"/>
    <s v="278.69"/>
    <s v="87.66"/>
    <n v="203"/>
    <s v="NÃO LOCALIZADO"/>
    <s v="TELEFONES SEM ATENDIMENTO"/>
    <n v="21"/>
    <x v="21"/>
    <s v="15.34"/>
    <s v="anakeppe"/>
    <s v="181 a 360"/>
    <s v="ACIONAMENTO"/>
    <x v="0"/>
  </r>
  <r>
    <s v="COGECOM"/>
    <n v="56471855"/>
    <s v="Uilson Alves Leitao"/>
    <s v="OUT"/>
    <s v="OUTROS"/>
    <n v="1951404190"/>
    <x v="1"/>
    <s v="0.00"/>
    <s v="173.37"/>
    <n v="191"/>
    <s v="SEM INTERESSE"/>
    <s v="NEGOCIAÇÃO VIA TELEFONE"/>
    <n v="21"/>
    <x v="21"/>
    <s v="16.36"/>
    <s v="amanda"/>
    <s v="181 a 360"/>
    <s v="CPC"/>
    <x v="1"/>
  </r>
  <r>
    <s v="COGECOM"/>
    <n v="52327620"/>
    <s v="DILTON DA SILVA"/>
    <s v="OUT"/>
    <s v="OUTROS"/>
    <n v="66750865968"/>
    <x v="1"/>
    <s v="0.00"/>
    <s v="449.42"/>
    <n v="243"/>
    <s v="SEM INTERESSE"/>
    <s v="NEGOCIAÇÃO VIA TELEFONE"/>
    <n v="21"/>
    <x v="21"/>
    <s v="14.05"/>
    <s v="amanda"/>
    <s v="181 a 360"/>
    <s v="CPC"/>
    <x v="1"/>
  </r>
  <r>
    <s v="COGECOM"/>
    <n v="6454542"/>
    <s v="ADEMIR ANTONIO SGARABOTTO"/>
    <s v="OUT"/>
    <s v="OUTROS"/>
    <n v="29557402920"/>
    <x v="1"/>
    <s v="0.00"/>
    <s v="299.13"/>
    <n v="164"/>
    <s v="ACORDO VIGENTE COLCHÃO EM DIA"/>
    <s v="ALTERACAO DEBITO"/>
    <n v="89"/>
    <x v="21"/>
    <s v="12.30"/>
    <s v="elizabel"/>
    <s v="91 a 180"/>
    <s v="ACIONAMENTO"/>
    <x v="2"/>
  </r>
  <r>
    <s v="COGECOM"/>
    <n v="9381260"/>
    <s v="Geni Aparecida Moreno"/>
    <s v="OUT"/>
    <s v="OUTROS"/>
    <n v="81071299972"/>
    <x v="1"/>
    <s v="358.18"/>
    <s v="358.18"/>
    <n v="169"/>
    <s v="NÃO LOCALIZADO"/>
    <s v="TELEFONES SEM ATENDIMENTO"/>
    <n v="21"/>
    <x v="21"/>
    <s v="14.54"/>
    <s v="amanda"/>
    <s v="91 a 180"/>
    <s v="ACIONAMENTO"/>
    <x v="0"/>
  </r>
  <r>
    <s v="COGECOM"/>
    <n v="102158347"/>
    <s v="GLEDISON DANILO DE SOUZA"/>
    <s v="OUT"/>
    <s v="OUTROS"/>
    <n v="4978173906"/>
    <x v="1"/>
    <s v="246.32"/>
    <s v="246.32"/>
    <n v="157"/>
    <s v="SEM INTERESSE"/>
    <s v="NEGOCIAÇÃO VIA TELEFONE"/>
    <n v="21"/>
    <x v="21"/>
    <s v="16.47"/>
    <s v="amanda"/>
    <s v="91 a 180"/>
    <s v="CPC"/>
    <x v="1"/>
  </r>
  <r>
    <s v="COGECOM"/>
    <n v="5561310"/>
    <s v="AMIEL KLAMERICK FARIAS"/>
    <s v="OUT"/>
    <s v="OUTROS"/>
    <n v="2852290952"/>
    <x v="1"/>
    <s v="324.33"/>
    <s v="324.33"/>
    <n v="154"/>
    <s v="NÃO LOCALIZADO"/>
    <s v="TELEFONES SEM ATENDIMENTO"/>
    <n v="21"/>
    <x v="21"/>
    <s v="15.17"/>
    <s v="amanda"/>
    <s v="91 a 180"/>
    <s v="ACIONAMENTO"/>
    <x v="0"/>
  </r>
  <r>
    <s v="COGECOM"/>
    <n v="3011836165"/>
    <s v="JESSICA CRISTINA DA SILVA"/>
    <s v="OUT"/>
    <s v="OUTROS"/>
    <n v="1732827680"/>
    <x v="1"/>
    <s v="0.00"/>
    <s v="54.87"/>
    <n v="153"/>
    <s v="NÃO LOCALIZADO"/>
    <s v="TELEFONES SEM ATENDIMENTO"/>
    <n v="21"/>
    <x v="21"/>
    <s v="11.50"/>
    <s v="amanda"/>
    <s v="91 a 180"/>
    <s v="ACIONAMENTO"/>
    <x v="0"/>
  </r>
  <r>
    <s v="COGECOM"/>
    <n v="102168725"/>
    <s v="TALITA FREIRE DE FREITAS"/>
    <s v="OUT"/>
    <s v="OUTROS"/>
    <n v="1574858971"/>
    <x v="1"/>
    <s v="399.38"/>
    <s v="399.38"/>
    <n v="153"/>
    <s v="SEM INTERESSE"/>
    <s v="NEGOCIAÇÃO VIA TELEFONE"/>
    <n v="21"/>
    <x v="21"/>
    <s v="16.23"/>
    <s v="amanda"/>
    <s v="91 a 180"/>
    <s v="CPC"/>
    <x v="1"/>
  </r>
  <r>
    <s v="COGECOM"/>
    <n v="3005884460"/>
    <s v="CLAUDIO GERALDO DE OLIVEIRA ALVES"/>
    <s v="OUT"/>
    <s v="OUTROS"/>
    <n v="64369757649"/>
    <x v="1"/>
    <s v="0.00"/>
    <s v="494.66"/>
    <n v="149"/>
    <s v="NÃO LOCALIZADO"/>
    <s v="TELEFONES SEM ATENDIMENTO"/>
    <n v="21"/>
    <x v="21"/>
    <s v="16.45"/>
    <s v="anakeppe"/>
    <s v="91 a 180"/>
    <s v="ACIONAMENTO"/>
    <x v="0"/>
  </r>
  <r>
    <s v="COGECOM"/>
    <n v="31803322"/>
    <s v="SERGIO LUIZ PEREIRA"/>
    <s v="OUT"/>
    <s v="OUTROS"/>
    <n v="63860031953"/>
    <x v="1"/>
    <s v="0.00"/>
    <s v="233.13"/>
    <n v="117"/>
    <s v="NÃO LOCALIZADO"/>
    <s v="ALTERACAO DEBITO"/>
    <n v="21"/>
    <x v="21"/>
    <s v="12.26"/>
    <s v="elizabel"/>
    <s v="91 a 180"/>
    <s v="ACIONAMENTO"/>
    <x v="0"/>
  </r>
  <r>
    <s v="COGECOM"/>
    <n v="98695150"/>
    <s v="Hercules Joarez Nogueira"/>
    <s v="OUT"/>
    <s v="OUTROS"/>
    <n v="36543691972"/>
    <x v="1"/>
    <s v="82.73"/>
    <s v="82.73"/>
    <n v="118"/>
    <s v="NÃO LOCALIZADO"/>
    <s v="TELEFONES SEM ATENDIMENTO"/>
    <n v="21"/>
    <x v="21"/>
    <s v="11.39"/>
    <s v="amanda"/>
    <s v="91 a 180"/>
    <s v="ACIONAMENTO"/>
    <x v="0"/>
  </r>
  <r>
    <s v="COGECOM"/>
    <n v="8680140"/>
    <s v="Ivone Ristow"/>
    <s v="OUT"/>
    <s v="OUTROS"/>
    <n v="56686013900"/>
    <x v="1"/>
    <s v="0.00"/>
    <s v="115.25"/>
    <n v="66"/>
    <s v="EM NEGOCIAÇÃO"/>
    <s v="ALTERACAO DEBITO"/>
    <n v="22"/>
    <x v="21"/>
    <s v="12.25"/>
    <s v="elizabel"/>
    <s v="61 a 90"/>
    <s v="ACIONAMENTO"/>
    <x v="2"/>
  </r>
  <r>
    <s v="COGECOM"/>
    <n v="69313342"/>
    <s v="JAYME BRENER"/>
    <s v="OUT"/>
    <s v="OUTROS"/>
    <n v="85187356704"/>
    <x v="1"/>
    <s v="0.00"/>
    <s v="111.20"/>
    <n v="71"/>
    <s v="EM NEGOCIAÇÃO"/>
    <s v="NEGOCIAÇÃO VIA WHATSAPP"/>
    <n v="21"/>
    <x v="21"/>
    <s v="15.30"/>
    <s v="anne"/>
    <s v="61 a 90"/>
    <s v="CPC"/>
    <x v="2"/>
  </r>
  <r>
    <s v="COGECOM"/>
    <n v="180032756"/>
    <s v="NIVALDO FERREIRA DAMASCENO"/>
    <s v="OUT"/>
    <s v="OUTROS"/>
    <n v="32411316100"/>
    <x v="0"/>
    <s v="8160.60"/>
    <s v="1128.80"/>
    <n v="145"/>
    <s v="ACORDO VIGENTE COLCHÃO EM ATRASO"/>
    <s v="ACORDO VIGENTE COLCHÃO EM ATRASO"/>
    <n v="21"/>
    <x v="21"/>
    <s v="10.20"/>
    <s v="roberto"/>
    <s v="91 a 180"/>
    <s v="CPC"/>
    <x v="2"/>
  </r>
  <r>
    <s v="COGECOM"/>
    <n v="10020242504"/>
    <s v="CELSO ANTONIO OLIVEIRA DE LIMA"/>
    <s v="OUT"/>
    <s v="OUTROS"/>
    <n v="40116859172"/>
    <x v="0"/>
    <s v="215.50"/>
    <s v="113.70"/>
    <n v="180"/>
    <s v="SEM INTERESSE"/>
    <s v="NEGOCIAÇÃO VIA TELEFONE"/>
    <n v="28"/>
    <x v="21"/>
    <s v="11.47"/>
    <s v="gleise"/>
    <s v="91 a 180"/>
    <s v="CPC"/>
    <x v="1"/>
  </r>
  <r>
    <s v="COGECOM"/>
    <n v="3015116986"/>
    <s v="BRENO GOULART MARTINS"/>
    <s v="OUT"/>
    <s v="OUTROS"/>
    <n v="14293976671"/>
    <x v="0"/>
    <s v="537.22"/>
    <s v="90.56"/>
    <n v="161"/>
    <s v="SEM INTERESSE"/>
    <s v="NEGOCIAÇÃO VIA TELEFONE"/>
    <n v="28"/>
    <x v="21"/>
    <s v="15.32"/>
    <s v="anakeppe"/>
    <s v="91 a 180"/>
    <s v="CPC"/>
    <x v="1"/>
  </r>
  <r>
    <s v="COGECOM"/>
    <n v="3004491961"/>
    <s v="ARAMITO OLIVEIRA DA COSTA"/>
    <s v="OUT"/>
    <s v="OUTROS"/>
    <n v="40590518615"/>
    <x v="1"/>
    <s v="63.74"/>
    <s v="159.57"/>
    <n v="208"/>
    <s v="NÃO LOCALIZADO"/>
    <s v="TELEFONES SEM ATENDIMENTO"/>
    <n v="22"/>
    <x v="22"/>
    <s v="9.08"/>
    <s v="anakeppe"/>
    <s v="181 a 360"/>
    <s v="ACIONAMENTO"/>
    <x v="0"/>
  </r>
  <r>
    <s v="COGECOM"/>
    <n v="3095044765"/>
    <s v="Coletivo Pe de Coelho Ltda ME"/>
    <s v="OUT"/>
    <s v="OUTROS"/>
    <n v="20343300000180"/>
    <x v="1"/>
    <s v="0.00"/>
    <s v="275.04"/>
    <n v="325"/>
    <s v="ACORDO VIGENTE COLCHÃO EM DIA"/>
    <s v="ALTERACAO DEBITO"/>
    <n v="26"/>
    <x v="22"/>
    <s v="12.36"/>
    <s v="elizabel"/>
    <s v="181 a 360"/>
    <s v="ACIONAMENTO"/>
    <x v="2"/>
  </r>
  <r>
    <s v="COGECOM"/>
    <n v="28084242"/>
    <s v="ELCIO DIVINO DE SOUZA"/>
    <s v="OUT"/>
    <s v="OUTROS"/>
    <n v="1646257634"/>
    <x v="1"/>
    <s v="0.00"/>
    <s v="50.40"/>
    <n v="409"/>
    <s v="ACORDO VIGENTE COLCHÃO EM DIA"/>
    <s v="ALTERACAO DEBITO"/>
    <n v="26"/>
    <x v="22"/>
    <s v="12.32"/>
    <s v="elizabel"/>
    <s v="Acima de 361"/>
    <s v="ACIONAMENTO"/>
    <x v="2"/>
  </r>
  <r>
    <s v="COGECOM"/>
    <n v="3002168907"/>
    <s v="GLADS MARQUES DE OLIEVIRA COSTA"/>
    <s v="OUT"/>
    <s v="OUTROS"/>
    <n v="1520009682"/>
    <x v="1"/>
    <s v="180.48"/>
    <s v="172.48"/>
    <n v="189"/>
    <s v="SEM INTERESSE"/>
    <s v="NEGOCIAÇÃO VIA TELEFONE"/>
    <n v="22"/>
    <x v="22"/>
    <s v="14.06"/>
    <s v="gleise"/>
    <s v="181 a 360"/>
    <s v="CPC"/>
    <x v="1"/>
  </r>
  <r>
    <s v="COGECOM"/>
    <n v="69638110"/>
    <s v="JOSE CARLOS ZAMPROGNA RODRIGUES"/>
    <s v="OUT"/>
    <s v="OUTROS"/>
    <n v="33074433000140"/>
    <x v="1"/>
    <s v="208.18"/>
    <s v="413.08"/>
    <n v="173"/>
    <s v="NÃO LOCALIZADO"/>
    <s v="TELEFONES SEM ATENDIMENTO"/>
    <n v="22"/>
    <x v="22"/>
    <s v="11.38"/>
    <s v="amanda"/>
    <s v="91 a 180"/>
    <s v="ACIONAMENTO"/>
    <x v="0"/>
  </r>
  <r>
    <s v="COGECOM"/>
    <n v="108058840"/>
    <s v="LUANA VANESSA DE MELO"/>
    <s v="OUT"/>
    <s v="OUTROS"/>
    <n v="9037089496"/>
    <x v="1"/>
    <s v="0.00"/>
    <s v="113.46"/>
    <n v="191"/>
    <s v="SEM INTERESSE"/>
    <s v="NEGOCIAÇÃO VIA TELEFONE"/>
    <n v="22"/>
    <x v="22"/>
    <s v="16.55"/>
    <s v="amanda"/>
    <s v="181 a 360"/>
    <s v="CPC"/>
    <x v="1"/>
  </r>
  <r>
    <s v="COGECOM"/>
    <n v="93737114"/>
    <s v="LUCIANA DE CAMARGO"/>
    <s v="OUT"/>
    <s v="OUTROS"/>
    <n v="1720402990"/>
    <x v="1"/>
    <s v="158.82"/>
    <s v="160.97"/>
    <n v="195"/>
    <s v="NÃO LOCALIZADO"/>
    <s v="TELEFONES SEM ATENDIMENTO"/>
    <n v="22"/>
    <x v="22"/>
    <s v="14.15"/>
    <s v="anakeppe"/>
    <s v="181 a 360"/>
    <s v="ACIONAMENTO"/>
    <x v="0"/>
  </r>
  <r>
    <s v="COGECOM"/>
    <n v="3082095227"/>
    <s v="RAQUEL AMANDA DA  SILVA"/>
    <s v="OUT"/>
    <s v="OUTROS"/>
    <n v="36211738897"/>
    <x v="1"/>
    <s v="0.00"/>
    <s v="154.59"/>
    <n v="196"/>
    <s v="EM NEGOCIAÇÃO"/>
    <s v="NEGOCIAÇÃO VIA WHATSAPP"/>
    <n v="22"/>
    <x v="22"/>
    <s v="15.49"/>
    <s v="anne"/>
    <s v="181 a 360"/>
    <s v="CPC"/>
    <x v="2"/>
  </r>
  <r>
    <s v="COGECOM"/>
    <n v="10024789982"/>
    <s v="RENATA VIANNA FERREIRA"/>
    <s v="OUT"/>
    <s v="OUTROS"/>
    <n v="1670003140"/>
    <x v="1"/>
    <s v="53.27"/>
    <s v="46.15"/>
    <n v="227"/>
    <s v="NÃO LOCALIZADO"/>
    <s v="TELEFONES SEM ATENDIMENTO"/>
    <n v="22"/>
    <x v="22"/>
    <s v="13.12"/>
    <s v="amanda"/>
    <s v="181 a 360"/>
    <s v="ACIONAMENTO"/>
    <x v="0"/>
  </r>
  <r>
    <s v="COGECOM"/>
    <n v="18736497"/>
    <s v="RITA DE CASSIA DA SILVEIRA CORDEIRO"/>
    <s v="OUT"/>
    <s v="OUTROS"/>
    <n v="95272739"/>
    <x v="1"/>
    <s v="233.99"/>
    <s v="118.40"/>
    <n v="186"/>
    <s v="NÃO LOCALIZADO"/>
    <s v="TELEFONES SEM ATENDIMENTO"/>
    <n v="22"/>
    <x v="22"/>
    <s v="11.09"/>
    <s v="amanda"/>
    <s v="181 a 360"/>
    <s v="ACIONAMENTO"/>
    <x v="0"/>
  </r>
  <r>
    <s v="COGECOM"/>
    <n v="53670024"/>
    <s v="VIVIAN FURQUIM SCAGGIANTE"/>
    <s v="OUT"/>
    <s v="OUTROS"/>
    <n v="32912904889"/>
    <x v="1"/>
    <s v="301.49"/>
    <s v="425.02"/>
    <n v="195"/>
    <s v="NÃO LOCALIZADO"/>
    <s v="TELEFONES SEM ATENDIMENTO"/>
    <n v="22"/>
    <x v="22"/>
    <s v="10.55"/>
    <s v="amanda"/>
    <s v="181 a 360"/>
    <s v="ACIONAMENTO"/>
    <x v="0"/>
  </r>
  <r>
    <s v="COGECOM"/>
    <n v="23364409"/>
    <s v="RUBIA FRANCIELI PEREIRA SANTOS"/>
    <s v="OUT"/>
    <s v="OUTROS"/>
    <n v="881157988"/>
    <x v="1"/>
    <s v="0.00"/>
    <s v="316.46"/>
    <n v="195"/>
    <s v="NÃO LOCALIZADO"/>
    <s v="TELEFONES SEM ATENDIMENTO"/>
    <n v="22"/>
    <x v="22"/>
    <s v="14.32"/>
    <s v="gleise"/>
    <s v="181 a 360"/>
    <s v="ACIONAMENTO"/>
    <x v="0"/>
  </r>
  <r>
    <s v="COGECOM"/>
    <n v="2680106824"/>
    <s v="TAMIRES FERREIRA DA SILVA ARAUJO VIANNA"/>
    <s v="OUT"/>
    <s v="OUTROS"/>
    <n v="4800402140"/>
    <x v="1"/>
    <s v="0.00"/>
    <s v="24.43"/>
    <n v="168"/>
    <s v="NÃO LOCALIZADO"/>
    <s v="TELEFONES SEM ATENDIMENTO"/>
    <n v="22"/>
    <x v="22"/>
    <s v="15.35"/>
    <s v="gleise"/>
    <s v="91 a 180"/>
    <s v="ACIONAMENTO"/>
    <x v="0"/>
  </r>
  <r>
    <s v="COGECOM"/>
    <n v="4002348730"/>
    <s v="Fernanda Neves Marin"/>
    <s v="OUT"/>
    <s v="OUTROS"/>
    <n v="687273056"/>
    <x v="1"/>
    <s v="123.51"/>
    <s v="284.64"/>
    <n v="144"/>
    <s v="NÃO LOCALIZADO"/>
    <s v="TELEFONES SEM ATENDIMENTO"/>
    <n v="22"/>
    <x v="22"/>
    <s v="9.26"/>
    <s v="anakeppe"/>
    <s v="91 a 180"/>
    <s v="ACIONAMENTO"/>
    <x v="0"/>
  </r>
  <r>
    <s v="COGECOM"/>
    <n v="3090253845"/>
    <s v="Gilvani Miguel Hartmann"/>
    <s v="OUT"/>
    <s v="OUTROS"/>
    <n v="38135639015"/>
    <x v="1"/>
    <s v="0.00"/>
    <s v="180.02"/>
    <n v="172"/>
    <s v="EM NEGOCIAÇÃO"/>
    <s v="NEGOCIAÇÃO VIA TELEFONE"/>
    <n v="22"/>
    <x v="22"/>
    <s v="14.14"/>
    <s v="gleise"/>
    <s v="91 a 180"/>
    <s v="CPC"/>
    <x v="2"/>
  </r>
  <r>
    <s v="COGECOM"/>
    <n v="105383899"/>
    <s v="Gracieli Maria Canani Maique"/>
    <s v="OUT"/>
    <s v="OUTROS"/>
    <n v="3391466995"/>
    <x v="1"/>
    <s v="209.20"/>
    <s v="209.20"/>
    <n v="146"/>
    <s v="NÃO LOCALIZADO"/>
    <s v="TELEFONES SEM ATENDIMENTO"/>
    <n v="22"/>
    <x v="22"/>
    <s v="9.07"/>
    <s v="anakeppe"/>
    <s v="91 a 180"/>
    <s v="ACIONAMENTO"/>
    <x v="0"/>
  </r>
  <r>
    <s v="COGECOM"/>
    <n v="88886344"/>
    <s v="Coral Eventos e Locações Ltda"/>
    <s v="OUT"/>
    <s v="OUTROS"/>
    <n v="84877398000139"/>
    <x v="1"/>
    <s v="248.68"/>
    <s v="232.33"/>
    <n v="139"/>
    <s v="NÃO LOCALIZADO"/>
    <s v="TELEFONES SEM ATENDIMENTO"/>
    <n v="22"/>
    <x v="22"/>
    <s v="10.56"/>
    <s v="amanda"/>
    <s v="91 a 180"/>
    <s v="ACIONAMENTO"/>
    <x v="0"/>
  </r>
  <r>
    <s v="COGECOM"/>
    <n v="20798083"/>
    <s v="ALEXANDRE ROLEMBERG TONA"/>
    <s v="OUT"/>
    <s v="OUTROS"/>
    <n v="16823871865"/>
    <x v="1"/>
    <s v="0.00"/>
    <s v="230.07"/>
    <n v="122"/>
    <s v="NÃO LOCALIZADO"/>
    <s v="TELEFONES SEM ATENDIMENTO"/>
    <n v="22"/>
    <x v="22"/>
    <s v="13.04"/>
    <s v="gleise"/>
    <s v="91 a 180"/>
    <s v="ACIONAMENTO"/>
    <x v="0"/>
  </r>
  <r>
    <s v="COGECOM"/>
    <n v="79258808"/>
    <s v="ANDRE LUIZ DE MEDEIROS BAIA"/>
    <s v="OUT"/>
    <s v="OUTROS"/>
    <n v="3896147935"/>
    <x v="0"/>
    <s v="282.61"/>
    <s v="158.00"/>
    <n v="87"/>
    <m/>
    <s v="ESTORNO"/>
    <n v="9999"/>
    <x v="22"/>
    <s v="11.09"/>
    <s v="luciano"/>
    <s v="61 a 90"/>
    <s v="ACIONAMENTO"/>
    <x v="4"/>
  </r>
  <r>
    <s v="COGECOM"/>
    <n v="9281959"/>
    <s v="MARIO ESPEDITO OSTROVSKI"/>
    <s v="OUT"/>
    <s v="OUTROS"/>
    <n v="414050991"/>
    <x v="1"/>
    <s v="0.00"/>
    <s v="210.09"/>
    <n v="96"/>
    <s v="ACORDO VIGENTE COLCHÃO EM DIA"/>
    <s v="ALTERACAO DEBITO"/>
    <n v="28"/>
    <x v="22"/>
    <s v="12.34"/>
    <s v="elizabel"/>
    <s v="91 a 180"/>
    <s v="ACIONAMENTO"/>
    <x v="2"/>
  </r>
  <r>
    <s v="COGECOM"/>
    <n v="53673341"/>
    <s v="EDUARDO EGGERT"/>
    <s v="OUT"/>
    <s v="OUTROS"/>
    <n v="1678201928"/>
    <x v="1"/>
    <s v="0.00"/>
    <s v="181.98"/>
    <n v="66"/>
    <s v="NÃO LOCALIZADO"/>
    <s v="ESTORNO"/>
    <n v="23"/>
    <x v="22"/>
    <s v="11.09"/>
    <s v="luciano"/>
    <s v="61 a 90"/>
    <s v="ACIONAMENTO"/>
    <x v="0"/>
  </r>
  <r>
    <s v="COGECOM"/>
    <n v="10010429326"/>
    <s v="WANDERLEY LARA GOMES DOS SANTOS"/>
    <s v="OUT"/>
    <s v="OUTROS"/>
    <n v="84628359172"/>
    <x v="0"/>
    <s v="197.61"/>
    <s v="197.61"/>
    <n v="61"/>
    <m/>
    <s v="ESTORNO"/>
    <n v="9999"/>
    <x v="22"/>
    <s v="10.53"/>
    <s v="luciano"/>
    <s v="61 a 90"/>
    <s v="ACIONAMENTO"/>
    <x v="4"/>
  </r>
  <r>
    <s v="COGECOM"/>
    <n v="4002944816"/>
    <s v="MAICON COMIN"/>
    <s v="OUT"/>
    <s v="OUTROS"/>
    <n v="1980469016"/>
    <x v="0"/>
    <s v="59.86"/>
    <s v="59.86"/>
    <n v="49"/>
    <m/>
    <s v="ESTORNO"/>
    <n v="9999"/>
    <x v="22"/>
    <s v="11.02"/>
    <s v="luciano"/>
    <s v="31 a 60"/>
    <s v="ACIONAMENTO"/>
    <x v="4"/>
  </r>
  <r>
    <s v="COGECOM"/>
    <n v="104803886"/>
    <s v="João Luiz Felix Filho"/>
    <s v="OUT"/>
    <s v="OUTROS"/>
    <n v="6273784981"/>
    <x v="1"/>
    <s v="1995.79"/>
    <s v="1995.79"/>
    <n v="44"/>
    <s v="AG RESPOSTA 1º CONTATO"/>
    <s v="ESTORNO"/>
    <n v="36"/>
    <x v="22"/>
    <s v="11.01"/>
    <s v="luciano"/>
    <s v="31 a 60"/>
    <s v="ACIONAMENTO"/>
    <x v="4"/>
  </r>
  <r>
    <s v="COGECOM"/>
    <n v="54730853"/>
    <s v="DIEGO COUTINHO PAZ"/>
    <s v="OUT"/>
    <s v="OUTROS"/>
    <n v="497825090"/>
    <x v="1"/>
    <s v="240.39"/>
    <s v="216.26"/>
    <n v="34"/>
    <s v="EM NEGOCIAÇÃO"/>
    <s v="NEGOCIAÇÃO VIA WHATSAPP"/>
    <n v="22"/>
    <x v="22"/>
    <s v="13.40"/>
    <s v="anne"/>
    <s v="31 a 60"/>
    <s v="CPC"/>
    <x v="2"/>
  </r>
  <r>
    <s v="COGECOM"/>
    <n v="3010574667"/>
    <s v="LILIAN SIMOES GOMES DE ASSIS"/>
    <s v="OUT"/>
    <s v="OUTROS"/>
    <n v="50765752620"/>
    <x v="1"/>
    <s v="0.00"/>
    <s v="183.72"/>
    <n v="34"/>
    <s v="EM NEGOCIAÇÃO"/>
    <s v="ALTERACAO DEBITO"/>
    <n v="22"/>
    <x v="22"/>
    <s v="12.30"/>
    <s v="elizabel"/>
    <s v="31 a 60"/>
    <s v="ACIONAMENTO"/>
    <x v="2"/>
  </r>
  <r>
    <s v="COGECOM"/>
    <n v="3011269965"/>
    <s v="REINALDO BISPO"/>
    <s v="OUT"/>
    <s v="OUTROS"/>
    <n v="10326937897"/>
    <x v="1"/>
    <s v="0.00"/>
    <s v="73.35"/>
    <n v="252"/>
    <s v="EM NEGOCIAÇÃO"/>
    <s v="BAIXA ACORDO/CHEQUE-PRE"/>
    <n v="41"/>
    <x v="22"/>
    <s v="13.55"/>
    <s v="luciano"/>
    <s v="181 a 360"/>
    <s v="CPC"/>
    <x v="2"/>
  </r>
  <r>
    <s v="COGECOM"/>
    <n v="50527514"/>
    <s v="Alessandro Donadel Barbosa"/>
    <s v="OUT"/>
    <s v="OUTROS"/>
    <n v="1023371014"/>
    <x v="1"/>
    <s v="184.69"/>
    <s v="106.13"/>
    <n v="191"/>
    <s v="EM NEGOCIAÇÃO"/>
    <s v="GERAÇÃO DE ACORDO"/>
    <n v="163"/>
    <x v="23"/>
    <s v="9.14"/>
    <s v="gleise"/>
    <s v="181 a 360"/>
    <s v="CPC"/>
    <x v="2"/>
  </r>
  <r>
    <s v="COGECOM"/>
    <n v="54883048"/>
    <s v="BRUNA MARIA MARCCHETTI MÜLLER"/>
    <s v="OUT"/>
    <s v="OUTROS"/>
    <n v="8579298954"/>
    <x v="1"/>
    <s v="0.00"/>
    <s v="167.23"/>
    <n v="186"/>
    <s v="NÃO LOCALIZADO"/>
    <s v="TELEFONES SEM ATENDIMENTO"/>
    <n v="23"/>
    <x v="23"/>
    <s v="10.13"/>
    <s v="amanda"/>
    <s v="181 a 360"/>
    <s v="ACIONAMENTO"/>
    <x v="0"/>
  </r>
  <r>
    <s v="COGECOM"/>
    <n v="3004903514"/>
    <s v="CLEODI FERREIRA NEVES"/>
    <s v="OUT"/>
    <s v="OUTROS"/>
    <n v="5917614679"/>
    <x v="1"/>
    <s v="0.00"/>
    <s v="309.51"/>
    <n v="349"/>
    <s v="NÃO LOCALIZADO"/>
    <s v="TELEFONES SEM ATENDIMENTO"/>
    <n v="23"/>
    <x v="23"/>
    <s v="15.46"/>
    <s v="anakeppe"/>
    <s v="181 a 360"/>
    <s v="ACIONAMENTO"/>
    <x v="0"/>
  </r>
  <r>
    <s v="COGECOM"/>
    <n v="70109010"/>
    <s v="Humberto Diniz Junior"/>
    <s v="OUT"/>
    <s v="OUTROS"/>
    <n v="2145322914"/>
    <x v="1"/>
    <s v="421.09"/>
    <s v="453.87"/>
    <n v="186"/>
    <s v="NÃO LOCALIZADO"/>
    <s v="TELEFONES SEM ATENDIMENTO"/>
    <n v="23"/>
    <x v="23"/>
    <s v="15.18"/>
    <s v="anakeppe"/>
    <s v="181 a 360"/>
    <s v="ACIONAMENTO"/>
    <x v="0"/>
  </r>
  <r>
    <s v="COGECOM"/>
    <n v="105915904"/>
    <s v="MATHEUS ZAGO"/>
    <s v="OUT"/>
    <s v="OUTROS"/>
    <n v="5636855907"/>
    <x v="1"/>
    <s v="0.00"/>
    <s v="324.30"/>
    <n v="151"/>
    <s v="NÃO LOCALIZADO"/>
    <s v="TELEFONES SEM ATENDIMENTO"/>
    <n v="23"/>
    <x v="23"/>
    <s v="16.01"/>
    <s v="anne"/>
    <s v="91 a 180"/>
    <s v="ACIONAMENTO"/>
    <x v="0"/>
  </r>
  <r>
    <s v="COGECOM"/>
    <n v="39118371"/>
    <s v="PAULO CEZAR BOTON SOARES"/>
    <s v="OUT"/>
    <s v="OUTROS"/>
    <n v="80446191949"/>
    <x v="1"/>
    <s v="288.98"/>
    <s v="355.02"/>
    <n v="217"/>
    <s v="NÃO LOCALIZADO"/>
    <s v="TELEFONES SEM ATENDIMENTO"/>
    <n v="23"/>
    <x v="23"/>
    <s v="16.23"/>
    <s v="amanda"/>
    <s v="181 a 360"/>
    <s v="ACIONAMENTO"/>
    <x v="0"/>
  </r>
  <r>
    <s v="COGECOM"/>
    <n v="103262598"/>
    <s v="ELSON SAEL DE MORAES RIBEIRO"/>
    <s v="OUT"/>
    <s v="OUTROS"/>
    <n v="2549885988"/>
    <x v="1"/>
    <s v="242.64"/>
    <s v="108.29"/>
    <n v="172"/>
    <s v="NÃO LOCALIZADO"/>
    <s v="TELEFONES SEM ATENDIMENTO"/>
    <n v="23"/>
    <x v="23"/>
    <s v="14.19"/>
    <s v="anakeppe"/>
    <s v="91 a 180"/>
    <s v="ACIONAMENTO"/>
    <x v="0"/>
  </r>
  <r>
    <s v="COGECOM"/>
    <n v="5645743"/>
    <s v="VALDIRENE TECLA ZERMIANI BATISTA"/>
    <s v="OUT"/>
    <s v="OUTROS"/>
    <n v="79198139991"/>
    <x v="1"/>
    <s v="386.34"/>
    <s v="386.34"/>
    <n v="144"/>
    <s v="ACORDO VIGENTE COLCHÃO EM DIA"/>
    <s v="NEGOCIAÇÃO VIA TELEFONE"/>
    <n v="23"/>
    <x v="23"/>
    <s v="16.13"/>
    <s v="amanda"/>
    <s v="91 a 180"/>
    <s v="CPC"/>
    <x v="2"/>
  </r>
  <r>
    <s v="COGECOM"/>
    <n v="31875319"/>
    <s v="Gilberto Cardoso"/>
    <s v="OUT"/>
    <s v="OUTROS"/>
    <n v="77604113915"/>
    <x v="1"/>
    <s v="0.00"/>
    <s v="736.36"/>
    <n v="187"/>
    <s v="ACORDO VIGENTE COLCHÃO EM DIA"/>
    <s v="ALTERACAO DEBITO"/>
    <n v="26"/>
    <x v="23"/>
    <s v="12.25"/>
    <s v="elizabel"/>
    <s v="181 a 360"/>
    <s v="ACIONAMENTO"/>
    <x v="2"/>
  </r>
  <r>
    <s v="COGECOM"/>
    <n v="3001558722"/>
    <s v="ELENICE BONIFACIO DA SILVA"/>
    <s v="OUT"/>
    <s v="OUTROS"/>
    <n v="1474878628"/>
    <x v="1"/>
    <s v="0.00"/>
    <s v="130.31"/>
    <n v="68"/>
    <s v="NÃO LOCALIZADO"/>
    <s v="TELEFONES SEM ATENDIMENTO"/>
    <n v="23"/>
    <x v="23"/>
    <s v="13.59"/>
    <s v="anne"/>
    <s v="61 a 90"/>
    <s v="ACIONAMENTO"/>
    <x v="0"/>
  </r>
  <r>
    <s v="COGECOM"/>
    <n v="42418587"/>
    <s v="ROZICLEIA DINETE PEREIRA SILVA"/>
    <s v="OUT"/>
    <s v="OUTROS"/>
    <n v="4224724928"/>
    <x v="1"/>
    <s v="0.00"/>
    <s v="231.61"/>
    <n v="62"/>
    <s v="NÃO LOCALIZADO"/>
    <s v="TELEFONES SEM ATENDIMENTO"/>
    <n v="23"/>
    <x v="23"/>
    <s v="13.52"/>
    <s v="anne"/>
    <s v="61 a 90"/>
    <s v="ACIONAMENTO"/>
    <x v="0"/>
  </r>
  <r>
    <s v="COGECOM"/>
    <n v="1060082965"/>
    <s v="Super Rio Supermercado Ltda"/>
    <s v="OUT"/>
    <s v="OUTROS"/>
    <n v="45093946000188"/>
    <x v="1"/>
    <s v="0.00"/>
    <s v="3183.51"/>
    <n v="104"/>
    <s v="EM NEGOCIAÇÃO"/>
    <s v="NEGOCIAÇÃO VIA WHATSAPP"/>
    <n v="23"/>
    <x v="23"/>
    <s v="9.13"/>
    <s v="roberto"/>
    <s v="91 a 180"/>
    <s v="CPC"/>
    <x v="2"/>
  </r>
  <r>
    <s v="COGECOM"/>
    <n v="3095792887"/>
    <s v="Karen Arnold"/>
    <s v="OUT"/>
    <s v="OUTROS"/>
    <n v="534459021"/>
    <x v="1"/>
    <s v="310.70"/>
    <s v="280.18"/>
    <n v="41"/>
    <s v="NÃO LOCALIZADO"/>
    <s v="TELEFONES SEM ATENDIMENTO"/>
    <n v="23"/>
    <x v="23"/>
    <s v="10.42"/>
    <s v="anakeppe"/>
    <s v="31 a 60"/>
    <s v="ACIONAMENTO"/>
    <x v="0"/>
  </r>
  <r>
    <s v="COGECOM"/>
    <n v="9378642"/>
    <s v="BRUNA MARIANA TEIXEIRA DINIZ DA FONSECA FULTON"/>
    <s v="OUT"/>
    <s v="OUTROS"/>
    <n v="7027130904"/>
    <x v="1"/>
    <s v="0.00"/>
    <s v="880.05"/>
    <n v="186"/>
    <s v="NÃO LOCALIZADO"/>
    <s v="TELEFONES SEM ATENDIMENTO"/>
    <n v="26"/>
    <x v="24"/>
    <s v="10.35"/>
    <s v="amanda"/>
    <s v="181 a 360"/>
    <s v="ACIONAMENTO"/>
    <x v="0"/>
  </r>
  <r>
    <s v="COGECOM"/>
    <n v="23594196"/>
    <s v="Paulo Rogerio Silva Pereira"/>
    <s v="OUT"/>
    <s v="OUTROS"/>
    <n v="45044201049"/>
    <x v="1"/>
    <s v="0.00"/>
    <s v="460.14"/>
    <n v="156"/>
    <s v="NÃO LOCALIZADO"/>
    <s v="TELEFONES SEM ATENDIMENTO"/>
    <n v="26"/>
    <x v="24"/>
    <s v="16.46"/>
    <s v="amanda"/>
    <s v="91 a 180"/>
    <s v="ACIONAMENTO"/>
    <x v="0"/>
  </r>
  <r>
    <s v="COGECOM"/>
    <n v="10010644774"/>
    <s v="EVANDRO VIEIRA DE SOUSA"/>
    <s v="OUT"/>
    <s v="OUTROS"/>
    <n v="76636364300"/>
    <x v="1"/>
    <s v="179.92"/>
    <s v="161.29"/>
    <n v="173"/>
    <s v="ACORDO VIGENTE COLCHÃO EM DIA"/>
    <s v="ACORDO VIGENTE COLCHÃO EM DIA"/>
    <n v="26"/>
    <x v="24"/>
    <s v="9.52"/>
    <s v="gleise"/>
    <s v="91 a 180"/>
    <s v="CPC"/>
    <x v="2"/>
  </r>
  <r>
    <s v="COGECOM"/>
    <n v="46049012"/>
    <s v="SARAH CRISTINA PFLEGER"/>
    <s v="OUT"/>
    <s v="OUTROS"/>
    <n v="1698399901"/>
    <x v="1"/>
    <s v="733.55"/>
    <s v="487.95"/>
    <n v="144"/>
    <s v="ACORDO VIGENTE COLCHÃO EM DIA"/>
    <s v="NEGOCIAÇÃO VIA TELEFONE"/>
    <n v="26"/>
    <x v="24"/>
    <s v="15.53"/>
    <s v="amanda"/>
    <s v="91 a 180"/>
    <s v="CPC"/>
    <x v="2"/>
  </r>
  <r>
    <s v="COGECOM"/>
    <n v="41861851"/>
    <s v="HELENA PIERI HAVERROTH DE LION"/>
    <s v="OUT"/>
    <s v="OUTROS"/>
    <n v="5873486905"/>
    <x v="1"/>
    <s v="0.00"/>
    <s v="121.28"/>
    <n v="117"/>
    <s v="NÃO LOCALIZADO"/>
    <s v="TELEFONES SEM ATENDIMENTO"/>
    <n v="26"/>
    <x v="24"/>
    <s v="13.57"/>
    <s v="anakeppe"/>
    <s v="91 a 180"/>
    <s v="ACIONAMENTO"/>
    <x v="0"/>
  </r>
  <r>
    <s v="COGECOM"/>
    <n v="7264305"/>
    <s v="GILMAR ALAIR DA COSTA"/>
    <s v="OUT"/>
    <s v="OUTROS"/>
    <n v="76212050910"/>
    <x v="1"/>
    <s v="0.00"/>
    <s v="278.33"/>
    <n v="93"/>
    <s v="NÃO LOCALIZADO"/>
    <s v="TELEFONES SEM ATENDIMENTO"/>
    <n v="26"/>
    <x v="24"/>
    <s v="16.30"/>
    <s v="amanda"/>
    <s v="91 a 180"/>
    <s v="ACIONAMENTO"/>
    <x v="0"/>
  </r>
  <r>
    <s v="COGECOM"/>
    <n v="55154546"/>
    <s v="Milene Menezes Rampinelli"/>
    <s v="OUT"/>
    <s v="OUTROS"/>
    <n v="910666970"/>
    <x v="1"/>
    <s v="0.00"/>
    <s v="178.12"/>
    <n v="66"/>
    <s v="SEM INTERESSE"/>
    <s v="NEGOCIAÇÃO VIA TELEFONE"/>
    <n v="26"/>
    <x v="24"/>
    <s v="13.06"/>
    <s v="amanda"/>
    <s v="61 a 90"/>
    <s v="CPC"/>
    <x v="1"/>
  </r>
  <r>
    <s v="COGECOM"/>
    <n v="51893002"/>
    <s v="FABIO FANCHIN"/>
    <s v="OUT"/>
    <s v="OUTROS"/>
    <n v="70737690925"/>
    <x v="1"/>
    <s v="0.00"/>
    <s v="897.49"/>
    <n v="214"/>
    <s v="SEM CONDIÇÕES"/>
    <s v="NEGOCIAÇÃO VIA TELEFONE"/>
    <n v="27"/>
    <x v="25"/>
    <s v="15.26"/>
    <s v="gleise"/>
    <s v="181 a 360"/>
    <s v="CPC"/>
    <x v="3"/>
  </r>
  <r>
    <s v="COGECOM"/>
    <n v="97196770"/>
    <s v="Luciano Soares Lucio"/>
    <s v="OUT"/>
    <s v="OUTROS"/>
    <n v="17364137831"/>
    <x v="1"/>
    <s v="0.00"/>
    <s v="169.75"/>
    <n v="196"/>
    <s v="EM NEGOCIAÇÃO"/>
    <s v="ALTERACAO DEBITO"/>
    <n v="41"/>
    <x v="25"/>
    <s v="16.56"/>
    <s v="elizabel"/>
    <s v="181 a 360"/>
    <s v="ACIONAMENTO"/>
    <x v="2"/>
  </r>
  <r>
    <s v="COGECOM"/>
    <n v="93315040"/>
    <s v="Thays Dangui Closs"/>
    <s v="OUT"/>
    <s v="OUTROS"/>
    <n v="4539513923"/>
    <x v="1"/>
    <s v="0.00"/>
    <s v="110.38"/>
    <n v="611"/>
    <s v="EM NEGOCIAÇÃO"/>
    <s v="ALTERACAO DEBITO"/>
    <n v="28"/>
    <x v="25"/>
    <s v="17.01"/>
    <s v="elizabel"/>
    <s v="Acima de 361"/>
    <s v="ACIONAMENTO"/>
    <x v="2"/>
  </r>
  <r>
    <s v="COGECOM"/>
    <n v="33966060"/>
    <s v="EDSON CORTEZIA GARCIA"/>
    <s v="OUT"/>
    <s v="OUTROS"/>
    <n v="10374252866"/>
    <x v="1"/>
    <s v="0.00"/>
    <s v="253.84"/>
    <n v="122"/>
    <s v="SEM INTERESSE"/>
    <s v="NEGOCIAÇÃO VIA TELEFONE"/>
    <n v="27"/>
    <x v="25"/>
    <s v="15.59"/>
    <s v="amanda"/>
    <s v="91 a 180"/>
    <s v="CPC"/>
    <x v="1"/>
  </r>
  <r>
    <s v="COGECOM"/>
    <n v="44688018"/>
    <s v="DANIELA FRANCINE RADAELLI"/>
    <s v="OUT"/>
    <s v="OUTROS"/>
    <n v="5822306918"/>
    <x v="1"/>
    <s v="126.86"/>
    <s v="113.05"/>
    <n v="66"/>
    <m/>
    <s v="GERAÇÃO DE ACORDO"/>
    <n v="9999"/>
    <x v="25"/>
    <s v="14.49"/>
    <s v="amanda"/>
    <s v="61 a 90"/>
    <s v="CPC"/>
    <x v="4"/>
  </r>
  <r>
    <s v="COGECOM"/>
    <n v="47017980"/>
    <s v="MARCELO COLISSI HABOWSKI"/>
    <s v="OUT"/>
    <s v="OUTROS"/>
    <n v="8748788961"/>
    <x v="1"/>
    <s v="0.00"/>
    <s v="116.35"/>
    <n v="66"/>
    <s v="NÃO LOCALIZADO"/>
    <s v="TELEFONES SEM ATENDIMENTO"/>
    <n v="27"/>
    <x v="25"/>
    <s v="16.02"/>
    <s v="anne"/>
    <s v="61 a 90"/>
    <s v="ACIONAMENTO"/>
    <x v="0"/>
  </r>
  <r>
    <s v="COGECOM"/>
    <n v="4002377280"/>
    <s v="RUBEM VACCARI"/>
    <s v="OUT"/>
    <s v="OUTROS"/>
    <n v="83149856000"/>
    <x v="1"/>
    <s v="0.00"/>
    <s v="202.78"/>
    <n v="69"/>
    <m/>
    <s v="SOLICITAR EXTINÇÃO DA AÇÃO"/>
    <n v="9999"/>
    <x v="25"/>
    <s v="15.28"/>
    <s v="anakeppe"/>
    <s v="61 a 90"/>
    <s v="ACIONAMENTO"/>
    <x v="4"/>
  </r>
  <r>
    <s v="COGECOM"/>
    <n v="62242598"/>
    <s v="SALIBA MERHY NETO"/>
    <s v="OUT"/>
    <s v="OUTROS"/>
    <n v="92550959"/>
    <x v="0"/>
    <s v="35.85"/>
    <s v="147.86"/>
    <n v="70"/>
    <m/>
    <s v="ALTERACAO DEBITO"/>
    <n v="9999"/>
    <x v="25"/>
    <s v="17.01"/>
    <s v="elizabel"/>
    <s v="61 a 90"/>
    <s v="ACIONAMENTO"/>
    <x v="4"/>
  </r>
  <r>
    <s v="COGECOM"/>
    <n v="3010343888"/>
    <s v="CLEISSON DE ASSIS MONTEIRO"/>
    <s v="OUT"/>
    <s v="OUTROS"/>
    <n v="8086279618"/>
    <x v="1"/>
    <s v="0.00"/>
    <s v="94.03"/>
    <n v="43"/>
    <s v="NÃO LOCALIZADO"/>
    <s v="TELEFONES SEM ATENDIMENTO"/>
    <n v="27"/>
    <x v="25"/>
    <s v="13.57"/>
    <s v="amanda"/>
    <s v="31 a 60"/>
    <s v="ACIONAMENTO"/>
    <x v="0"/>
  </r>
  <r>
    <s v="COGECOM"/>
    <n v="3081398180"/>
    <s v="CRISTIANE CAMARGO MATTE"/>
    <s v="OUT"/>
    <s v="OUTROS"/>
    <n v="60220104034"/>
    <x v="1"/>
    <s v="0.00"/>
    <s v="8.89"/>
    <n v="46"/>
    <s v="NÃO LOCALIZADO"/>
    <s v="TELEFONES SEM ATENDIMENTO"/>
    <n v="27"/>
    <x v="25"/>
    <s v="14.23"/>
    <s v="amanda"/>
    <s v="31 a 60"/>
    <s v="ACIONAMENTO"/>
    <x v="0"/>
  </r>
  <r>
    <s v="COGECOM"/>
    <n v="486353"/>
    <s v="Silvana Olandoski Miranda"/>
    <s v="OUT"/>
    <s v="OUTROS"/>
    <n v="56705174900"/>
    <x v="1"/>
    <s v="0.00"/>
    <s v="263.41"/>
    <n v="46"/>
    <m/>
    <s v="ESTORNO"/>
    <n v="9999"/>
    <x v="25"/>
    <s v="15.45"/>
    <s v="luciano"/>
    <s v="31 a 60"/>
    <s v="ACIONAMENTO"/>
    <x v="4"/>
  </r>
  <r>
    <s v="COGECOM"/>
    <n v="88486761"/>
    <s v="GUIDO GARCIA D ANGELO"/>
    <s v="OUT"/>
    <s v="OUTROS"/>
    <n v="50375423915"/>
    <x v="1"/>
    <s v="116.78"/>
    <s v="116.78"/>
    <n v="45"/>
    <s v="ACORDO VIGENTE COLCHÃO EM DIA"/>
    <s v="NEGOCIAÇÃO VIA TELEFONE"/>
    <n v="27"/>
    <x v="25"/>
    <s v="15.27"/>
    <s v="amanda"/>
    <s v="31 a 60"/>
    <s v="CPC"/>
    <x v="2"/>
  </r>
  <r>
    <s v="COGECOM"/>
    <n v="3082493714"/>
    <s v="Marcio Vaz"/>
    <s v="OUT"/>
    <s v="OUTROS"/>
    <n v="44966148049"/>
    <x v="1"/>
    <s v="0.00"/>
    <s v="178.89"/>
    <n v="34"/>
    <s v="SEM INTERESSE"/>
    <s v="NEGOCIAÇÃO VIA TELEFONE"/>
    <n v="27"/>
    <x v="25"/>
    <s v="15.39"/>
    <s v="amanda"/>
    <s v="31 a 60"/>
    <s v="CPC"/>
    <x v="1"/>
  </r>
  <r>
    <s v="COGECOM"/>
    <n v="3085010838"/>
    <s v="TANIAMARA DINAH TERRA DIAS LEIVAS"/>
    <s v="OUT"/>
    <s v="OUTROS"/>
    <n v="1731426054"/>
    <x v="0"/>
    <s v="142.54"/>
    <s v="142.54"/>
    <n v="34"/>
    <m/>
    <s v="SOLICITAR EXTINÇÃO DA AÇÃO"/>
    <n v="9999"/>
    <x v="25"/>
    <s v="15.29"/>
    <s v="anakeppe"/>
    <s v="31 a 60"/>
    <s v="ACIONAMENTO"/>
    <x v="4"/>
  </r>
  <r>
    <s v="COGECOM"/>
    <n v="58772782"/>
    <s v="LUIZ FELIPE RUTHES SILVA"/>
    <s v="OUT"/>
    <s v="OUTROS"/>
    <n v="8775496992"/>
    <x v="1"/>
    <s v="193.19"/>
    <s v="173.35"/>
    <n v="41"/>
    <m/>
    <s v="GERAÇÃO DE ACORDO"/>
    <n v="9999"/>
    <x v="25"/>
    <s v="15.43"/>
    <s v="amanda"/>
    <s v="31 a 60"/>
    <s v="CPC"/>
    <x v="4"/>
  </r>
  <r>
    <s v="COGECOM"/>
    <n v="109201310"/>
    <s v="Alessandra Cristina Borges"/>
    <s v="OUT"/>
    <s v="OUTROS"/>
    <n v="12267496909"/>
    <x v="1"/>
    <s v="0.00"/>
    <s v="132.28"/>
    <n v="194"/>
    <s v="EM NEGOCIAÇÃO"/>
    <s v="ALTERACAO DEBITO"/>
    <n v="33"/>
    <x v="26"/>
    <s v="9.43"/>
    <s v="elizabel"/>
    <s v="181 a 360"/>
    <s v="ACIONAMENTO"/>
    <x v="2"/>
  </r>
  <r>
    <s v="COGECOM"/>
    <n v="10028553967"/>
    <s v="CONSTRUTORA TENDA SA"/>
    <s v="OUT"/>
    <s v="OUTROS"/>
    <n v="71476527000135"/>
    <x v="1"/>
    <s v="828.26"/>
    <s v="182.72"/>
    <n v="335"/>
    <s v="EM NEGOCIAÇÃO"/>
    <s v="ESTORNO"/>
    <n v="48"/>
    <x v="26"/>
    <s v="15.22"/>
    <s v="luciano"/>
    <s v="181 a 360"/>
    <s v="ACIONAMENTO"/>
    <x v="2"/>
  </r>
  <r>
    <s v="COGECOM"/>
    <n v="4003011524"/>
    <s v="RAFAELA FROELICH DA  COSTA"/>
    <s v="OUT"/>
    <s v="OUTROS"/>
    <n v="2193366012"/>
    <x v="0"/>
    <s v="398.32"/>
    <s v="145.64"/>
    <n v="387"/>
    <s v="EM NEGOCIAÇÃO"/>
    <s v="SOLICITAR EXTINÇÃO DA AÇÃO"/>
    <n v="9999"/>
    <x v="26"/>
    <s v="16.44"/>
    <s v="anakeppe"/>
    <s v="Acima de 361"/>
    <s v="ACIONAMENTO"/>
    <x v="2"/>
  </r>
  <r>
    <s v="COGECOM"/>
    <n v="64730174"/>
    <s v="RINALDO PIANOWSKI"/>
    <s v="OUT"/>
    <s v="OUTROS"/>
    <n v="59557095920"/>
    <x v="1"/>
    <s v="0.00"/>
    <s v="220.96"/>
    <n v="536"/>
    <s v="SEM INTERESSE"/>
    <s v="ALTERACAO DEBITO"/>
    <n v="50"/>
    <x v="26"/>
    <s v="9.44"/>
    <s v="elizabel"/>
    <s v="Acima de 361"/>
    <s v="ACIONAMENTO"/>
    <x v="1"/>
  </r>
  <r>
    <s v="COGECOM"/>
    <n v="3095442657"/>
    <s v="ROBSON LUIS CRUZ RODRIGUES"/>
    <s v="OUT"/>
    <s v="OUTROS"/>
    <n v="153130008"/>
    <x v="0"/>
    <s v="103.86"/>
    <s v="103.86"/>
    <n v="594"/>
    <m/>
    <s v="SOLICITAR EXTINÇÃO DA AÇÃO"/>
    <n v="9999"/>
    <x v="26"/>
    <s v="15.50"/>
    <s v="anakeppe"/>
    <s v="Acima de 361"/>
    <s v="ACIONAMENTO"/>
    <x v="4"/>
  </r>
  <r>
    <s v="COGECOM"/>
    <n v="10034540227"/>
    <s v="MARIA DE JESUS HIPOLITO DOS SANTOS"/>
    <s v="OUT"/>
    <s v="OUTROS"/>
    <n v="1440989117"/>
    <x v="1"/>
    <s v="0.00"/>
    <s v="91.58"/>
    <n v="151"/>
    <s v="EM NEGOCIAÇÃO"/>
    <s v="ALTERACAO DEBITO"/>
    <n v="36"/>
    <x v="26"/>
    <s v="9.43"/>
    <s v="elizabel"/>
    <s v="91 a 180"/>
    <s v="ACIONAMENTO"/>
    <x v="2"/>
  </r>
  <r>
    <s v="COGECOM"/>
    <n v="10010778622"/>
    <s v="VANDERSON SOUSA CASTRO"/>
    <s v="OUT"/>
    <s v="OUTROS"/>
    <n v="5365321170"/>
    <x v="1"/>
    <s v="0.00"/>
    <s v="76.00"/>
    <n v="126"/>
    <s v="EM NEGOCIAÇÃO"/>
    <s v="ALTERACAO DEBITO"/>
    <n v="28"/>
    <x v="26"/>
    <s v="9.49"/>
    <s v="elizabel"/>
    <s v="91 a 180"/>
    <s v="ACIONAMENTO"/>
    <x v="2"/>
  </r>
  <r>
    <s v="COGECOM"/>
    <n v="88004066"/>
    <s v="ELIFAS BOLONHEZI QUINTANA"/>
    <s v="OUT"/>
    <s v="OUTROS"/>
    <n v="7467009976"/>
    <x v="1"/>
    <s v="0.00"/>
    <s v="600.25"/>
    <n v="172"/>
    <s v="SEM INTERESSE"/>
    <s v="NEGOCIAÇÃO VIA TELEFONE"/>
    <n v="28"/>
    <x v="26"/>
    <s v="15.40"/>
    <s v="amanda"/>
    <s v="91 a 180"/>
    <s v="CPC"/>
    <x v="1"/>
  </r>
  <r>
    <s v="COGECOM"/>
    <n v="52093104"/>
    <s v="ALINE MELO PACHECO"/>
    <s v="OUT"/>
    <s v="OUTROS"/>
    <n v="2741372080"/>
    <x v="1"/>
    <s v="0.00"/>
    <s v="154.93"/>
    <n v="66"/>
    <s v="EM NEGOCIAÇÃO"/>
    <s v="NEGOCIAÇÃO VIA WHATSAPP"/>
    <n v="28"/>
    <x v="26"/>
    <s v="12.29"/>
    <s v="roberto"/>
    <s v="61 a 90"/>
    <s v="CPC"/>
    <x v="2"/>
  </r>
  <r>
    <s v="COGECOM"/>
    <n v="50187268"/>
    <s v="CARLA GOMES DE JESUS"/>
    <s v="OUT"/>
    <s v="OUTROS"/>
    <n v="71114084034"/>
    <x v="1"/>
    <s v="0.00"/>
    <s v="199.08"/>
    <n v="66"/>
    <s v="EM NEGOCIAÇÃO"/>
    <s v="NEGOCIAÇÃO VIA TELEFONE"/>
    <n v="28"/>
    <x v="26"/>
    <s v="11.38"/>
    <s v="anne"/>
    <s v="61 a 90"/>
    <s v="CPC"/>
    <x v="2"/>
  </r>
  <r>
    <s v="COGECOM"/>
    <n v="42828343"/>
    <s v="Deogenes Nicoletti"/>
    <s v="OUT"/>
    <s v="OUTROS"/>
    <n v="7959414980"/>
    <x v="1"/>
    <s v="0.00"/>
    <s v="4.98"/>
    <n v="73"/>
    <s v="EM NEGOCIAÇÃO"/>
    <s v="NEGOCIAÇÃO VIA TELEFONE"/>
    <n v="28"/>
    <x v="26"/>
    <s v="11.56"/>
    <s v="anne"/>
    <s v="61 a 90"/>
    <s v="CPC"/>
    <x v="2"/>
  </r>
  <r>
    <s v="COGECOM"/>
    <n v="10338284"/>
    <s v="LUIZ ANTONIO DE CARVALHO"/>
    <s v="OUT"/>
    <s v="OUTROS"/>
    <n v="47945524672"/>
    <x v="1"/>
    <s v="0.00"/>
    <s v="95.11"/>
    <n v="66"/>
    <s v="SEM INTERESSE"/>
    <s v="NEGOCIAÇÃO VIA TELEFONE"/>
    <n v="28"/>
    <x v="26"/>
    <s v="13.37"/>
    <s v="amanda"/>
    <s v="61 a 90"/>
    <s v="CPC"/>
    <x v="1"/>
  </r>
  <r>
    <s v="COGECOM"/>
    <n v="97577723"/>
    <s v="Celso Urbanek"/>
    <s v="OUT"/>
    <s v="OUTROS"/>
    <n v="87390957972"/>
    <x v="1"/>
    <s v="0.00"/>
    <s v="240.54"/>
    <n v="46"/>
    <s v="NÃO LOCALIZADO"/>
    <s v="PESQUISAR"/>
    <n v="28"/>
    <x v="26"/>
    <s v="13.56"/>
    <s v="amanda"/>
    <s v="31 a 60"/>
    <s v="ACIONAMENTO"/>
    <x v="0"/>
  </r>
  <r>
    <s v="COGECOM"/>
    <n v="44964201"/>
    <s v="Fernanda Campos do Rosario"/>
    <s v="OUT"/>
    <s v="OUTROS"/>
    <n v="2939252750"/>
    <x v="1"/>
    <s v="0.00"/>
    <s v="239.37"/>
    <n v="44"/>
    <s v="EM NEGOCIAÇÃO"/>
    <s v="ALTERACAO DEBITO"/>
    <n v="30"/>
    <x v="26"/>
    <s v="9.44"/>
    <s v="elizabel"/>
    <s v="31 a 60"/>
    <s v="ACIONAMENTO"/>
    <x v="2"/>
  </r>
  <r>
    <s v="COGECOM"/>
    <n v="38885425"/>
    <s v="PAULO CEZAR DA SILVA PEREIRA PANIFICADORA"/>
    <s v="OUT"/>
    <s v="OUTROS"/>
    <n v="21674830000174"/>
    <x v="0"/>
    <s v="5329.55"/>
    <s v="2537.88"/>
    <n v="52"/>
    <s v="EM NEGOCIAÇÃO"/>
    <s v="NEGOCIAÇÃO VIA WHATSAPP"/>
    <n v="28"/>
    <x v="26"/>
    <s v="10.28"/>
    <s v="roberto"/>
    <s v="31 a 60"/>
    <s v="CPC"/>
    <x v="2"/>
  </r>
  <r>
    <s v="COGECOM"/>
    <n v="84166975"/>
    <s v="Marilia Terezinha Stachoviak Silveira"/>
    <s v="OUT"/>
    <s v="OUTROS"/>
    <n v="97745332915"/>
    <x v="1"/>
    <s v="0.00"/>
    <s v="1115.63"/>
    <n v="177"/>
    <s v="SEM INTERESSE"/>
    <s v="NEGOCIAÇÃO VIA TELEFONE"/>
    <n v="28"/>
    <x v="26"/>
    <s v="15.45"/>
    <s v="anakeppe"/>
    <s v="91 a 180"/>
    <s v="CPC"/>
    <x v="1"/>
  </r>
  <r>
    <s v="COGECOM"/>
    <n v="107148161"/>
    <s v="ABE E CIA LTDA"/>
    <s v="OUT"/>
    <s v="OUTROS"/>
    <n v="77709285000169"/>
    <x v="1"/>
    <s v="0.00"/>
    <s v="652.21"/>
    <n v="34"/>
    <s v="SEM INTERESSE"/>
    <s v="SEM INTERESSE"/>
    <n v="28"/>
    <x v="26"/>
    <s v="14.19"/>
    <s v="rafael"/>
    <s v="31 a 60"/>
    <s v="CPC"/>
    <x v="1"/>
  </r>
  <r>
    <s v="COGECOM"/>
    <n v="17002667"/>
    <s v="MOISES SILVA DOS REIS"/>
    <s v="OUT"/>
    <s v="OUTROS"/>
    <n v="70068045158"/>
    <x v="1"/>
    <s v="0.00"/>
    <s v="138.44"/>
    <n v="187"/>
    <s v="EM NEGOCIAÇÃO"/>
    <s v="NEGOCIAÇÃO VIA WHATSAPP"/>
    <n v="29"/>
    <x v="27"/>
    <s v="10.27"/>
    <s v="anne"/>
    <s v="181 a 360"/>
    <s v="CPC"/>
    <x v="2"/>
  </r>
  <r>
    <s v="COGECOM"/>
    <n v="85379417"/>
    <s v="MULAMBO BAR E RESTAURANTE EIRELI"/>
    <s v="OUT"/>
    <s v="OUTROS"/>
    <n v="31239476000103"/>
    <x v="1"/>
    <s v="1153.09"/>
    <s v="982.49"/>
    <n v="1729"/>
    <s v="EM NEGOCIAÇÃO"/>
    <s v="ALTERACAO DEBITO"/>
    <n v="33"/>
    <x v="27"/>
    <s v="12.29"/>
    <s v="elizabel"/>
    <s v="Acima de 361"/>
    <s v="ACIONAMENTO"/>
    <x v="2"/>
  </r>
  <r>
    <s v="COGECOM"/>
    <n v="3014334355"/>
    <s v="NADIA MARIA GOMES DOS SANTOS"/>
    <s v="OUT"/>
    <s v="OUTROS"/>
    <n v="3397638682"/>
    <x v="1"/>
    <s v="0.00"/>
    <s v="108.55"/>
    <n v="196"/>
    <m/>
    <s v="ALTERACAO DEBITO"/>
    <n v="9999"/>
    <x v="27"/>
    <s v="12.43"/>
    <s v="elizabel"/>
    <s v="181 a 360"/>
    <s v="ACIONAMENTO"/>
    <x v="4"/>
  </r>
  <r>
    <s v="COGECOM"/>
    <n v="1756095"/>
    <s v="INCA SONI ROGOSKI"/>
    <s v="OUT"/>
    <s v="OUTROS"/>
    <n v="40324702949"/>
    <x v="1"/>
    <s v="0.00"/>
    <s v="160.23"/>
    <n v="131"/>
    <s v="EM NEGOCIAÇÃO"/>
    <s v="DIVIDA CONTESTADA PELO DEVEDOR"/>
    <n v="29"/>
    <x v="27"/>
    <s v="11.52"/>
    <s v="peterson"/>
    <s v="91 a 180"/>
    <s v="CPC"/>
    <x v="2"/>
  </r>
  <r>
    <s v="COGECOM"/>
    <n v="3005566341"/>
    <s v="LILIA FRANCISCA ALVES DE ALMEIDA"/>
    <s v="OUT"/>
    <s v="OUTROS"/>
    <n v="78446198649"/>
    <x v="1"/>
    <s v="0.00"/>
    <s v="156.06"/>
    <n v="74"/>
    <s v="EM NEGOCIAÇÃO"/>
    <s v="NEGOCIAÇÃO VIA WHATSAPP"/>
    <n v="29"/>
    <x v="27"/>
    <s v="9.17"/>
    <s v="anne"/>
    <s v="61 a 90"/>
    <s v="CPC"/>
    <x v="2"/>
  </r>
  <r>
    <s v="COGECOM"/>
    <n v="107957418"/>
    <s v="Rafael de Moura Abrão"/>
    <s v="OUT"/>
    <s v="OUTROS"/>
    <n v="213061171"/>
    <x v="1"/>
    <s v="0.00"/>
    <s v="116.72"/>
    <n v="71"/>
    <s v="EM NEGOCIAÇÃO"/>
    <s v="NEGOCIAÇÃO VIA WHATSAPP"/>
    <n v="29"/>
    <x v="27"/>
    <s v="15.04"/>
    <s v="roberto"/>
    <s v="61 a 90"/>
    <s v="CPC"/>
    <x v="2"/>
  </r>
  <r>
    <s v="COGECOM"/>
    <n v="75433770"/>
    <s v="GILSON GUIMARAES ROSA"/>
    <s v="OUT"/>
    <s v="OUTROS"/>
    <n v="29974674034"/>
    <x v="1"/>
    <s v="0.00"/>
    <s v="232.99"/>
    <n v="45"/>
    <s v="EM NEGOCIAÇÃO"/>
    <s v="ALTERACAO DEBITO"/>
    <n v="30"/>
    <x v="27"/>
    <s v="14.03"/>
    <s v="elizabel"/>
    <s v="31 a 60"/>
    <s v="ACIONAMENTO"/>
    <x v="2"/>
  </r>
  <r>
    <s v="COGECOM"/>
    <n v="51598760"/>
    <s v="BANCO RCI BRASIL SA"/>
    <s v="OUT"/>
    <s v="OUTROS"/>
    <n v="62307848000115"/>
    <x v="1"/>
    <s v="0.00"/>
    <s v="3235.24"/>
    <n v="44"/>
    <s v="COBRANÇA SUSPENSA"/>
    <s v="COBRANÇA SUSPENSA"/>
    <n v="9999"/>
    <x v="27"/>
    <s v="15.58"/>
    <s v="luciano"/>
    <s v="31 a 60"/>
    <s v="ACIONAMENTO"/>
    <x v="4"/>
  </r>
  <r>
    <s v="COGECOM"/>
    <n v="56620497"/>
    <s v="EDENILSON ROBERTO DA SILVA"/>
    <s v="OUT"/>
    <s v="OUTROS"/>
    <n v="55121420978"/>
    <x v="1"/>
    <s v="453.08"/>
    <s v="375.28"/>
    <n v="194"/>
    <s v="EM NEGOCIAÇÃO"/>
    <s v="NEGOCIAÇÃO VIA WHATSAPP"/>
    <n v="30"/>
    <x v="28"/>
    <s v="9.32"/>
    <s v="roberto"/>
    <s v="181 a 360"/>
    <s v="CPC"/>
    <x v="2"/>
  </r>
  <r>
    <s v="COGECOM"/>
    <n v="10005771780"/>
    <s v="MANOEL MARQUES DA COSTA"/>
    <s v="OUT"/>
    <s v="OUTROS"/>
    <n v="46146210153"/>
    <x v="1"/>
    <s v="0.00"/>
    <s v="21.63"/>
    <n v="212"/>
    <s v="EM NEGOCIAÇÃO"/>
    <s v="ESTORNO"/>
    <n v="43"/>
    <x v="28"/>
    <s v="11.45"/>
    <s v="luciano"/>
    <s v="181 a 360"/>
    <s v="ACIONAMENTO"/>
    <x v="2"/>
  </r>
  <r>
    <s v="COGECOM"/>
    <n v="3013947998"/>
    <s v="MARCIA FREDERICO DA CONCEICAO BATISTA"/>
    <s v="OUT"/>
    <s v="OUTROS"/>
    <n v="940547627"/>
    <x v="1"/>
    <s v="0.00"/>
    <s v="136.89"/>
    <n v="195"/>
    <s v="EM NEGOCIAÇÃO"/>
    <s v="NEGOCIAÇÃO VIA WHATSAPP"/>
    <n v="30"/>
    <x v="28"/>
    <s v="9.11"/>
    <s v="anne"/>
    <s v="181 a 360"/>
    <s v="CPC"/>
    <x v="2"/>
  </r>
  <r>
    <s v="COGECOM"/>
    <n v="20270744"/>
    <s v="OSMAR CABRAL"/>
    <s v="OUT"/>
    <s v="OUTROS"/>
    <n v="18643973653"/>
    <x v="1"/>
    <s v="0.00"/>
    <s v="306.04"/>
    <n v="306"/>
    <s v="EM NEGOCIAÇÃO"/>
    <s v="NEGOCIAÇÃO VIA WHATSAPP"/>
    <n v="30"/>
    <x v="28"/>
    <s v="9.52"/>
    <s v="amanda"/>
    <s v="181 a 360"/>
    <s v="CPC"/>
    <x v="2"/>
  </r>
  <r>
    <s v="COGECOM"/>
    <n v="10008507536"/>
    <s v="RENATO ROBSON BERNARDES"/>
    <s v="OUT"/>
    <s v="OUTROS"/>
    <n v="95215417687"/>
    <x v="1"/>
    <s v="163.80"/>
    <s v="43.26"/>
    <n v="220"/>
    <s v="EM NEGOCIAÇÃO"/>
    <s v="GERAÇÃO DE ACORDO"/>
    <n v="30"/>
    <x v="28"/>
    <s v="15.29"/>
    <s v="amanda"/>
    <s v="181 a 360"/>
    <s v="CPC"/>
    <x v="2"/>
  </r>
  <r>
    <s v="COGECOM"/>
    <n v="3013030125"/>
    <s v="ROSANE LOPES DISTINTO"/>
    <s v="OUT"/>
    <s v="OUTROS"/>
    <n v="65177975568"/>
    <x v="1"/>
    <s v="86.36"/>
    <s v="76.24"/>
    <n v="192"/>
    <s v="EM NEGOCIAÇÃO"/>
    <s v="NEGOCIAÇÃO VIA WHATSAPP"/>
    <n v="30"/>
    <x v="28"/>
    <s v="13.14"/>
    <s v="anne"/>
    <s v="181 a 360"/>
    <s v="CPC"/>
    <x v="2"/>
  </r>
  <r>
    <s v="COGECOM"/>
    <n v="4002398125"/>
    <s v="GISELE OLIVEIRA DA SILVA"/>
    <s v="OUT"/>
    <s v="OUTROS"/>
    <n v="27868001"/>
    <x v="1"/>
    <s v="261.76"/>
    <s v="197.65"/>
    <n v="155"/>
    <s v="EM NEGOCIAÇÃO"/>
    <s v="NEGOCIAÇÃO VIA WHATSAPP"/>
    <n v="30"/>
    <x v="28"/>
    <s v="14.05"/>
    <s v="roberto"/>
    <s v="91 a 180"/>
    <s v="CPC"/>
    <x v="2"/>
  </r>
  <r>
    <s v="COGECOM"/>
    <n v="3095609310"/>
    <s v="GISELE SEVERO FALCAO"/>
    <s v="OUT"/>
    <s v="OUTROS"/>
    <n v="80890342091"/>
    <x v="1"/>
    <s v="0.00"/>
    <s v="412.23"/>
    <n v="153"/>
    <s v="EM NEGOCIAÇÃO"/>
    <s v="ALTERACAO DEBITO"/>
    <n v="37"/>
    <x v="28"/>
    <s v="15.31"/>
    <s v="luciano"/>
    <s v="91 a 180"/>
    <s v="ACIONAMENTO"/>
    <x v="2"/>
  </r>
  <r>
    <s v="COGECOM"/>
    <n v="10013896014"/>
    <s v="LEANDRO GARCIA DO AMARAL"/>
    <s v="OUT"/>
    <s v="OUTROS"/>
    <n v="1119415128"/>
    <x v="1"/>
    <s v="0.00"/>
    <s v="73.29"/>
    <n v="168"/>
    <s v="EM NEGOCIAÇÃO"/>
    <s v="ALTERACAO DEBITO"/>
    <n v="33"/>
    <x v="28"/>
    <s v="15.24"/>
    <s v="luciano"/>
    <s v="91 a 180"/>
    <s v="ACIONAMENTO"/>
    <x v="2"/>
  </r>
  <r>
    <s v="COGECOM"/>
    <n v="7717954"/>
    <s v="Heider Girotto"/>
    <s v="OUT"/>
    <s v="OUTROS"/>
    <n v="5090605955"/>
    <x v="1"/>
    <s v="0.00"/>
    <s v="334.15"/>
    <n v="172"/>
    <s v="EM NEGOCIAÇÃO"/>
    <s v="NEGOCIAÇÃO VIA WHATSAPP"/>
    <n v="30"/>
    <x v="28"/>
    <s v="10.52"/>
    <s v="roberto"/>
    <s v="91 a 180"/>
    <s v="CPC"/>
    <x v="2"/>
  </r>
  <r>
    <s v="COGECOM"/>
    <n v="67013538"/>
    <s v="MELINA LETICIA LASS"/>
    <s v="OUT"/>
    <s v="OUTROS"/>
    <n v="3064533983"/>
    <x v="1"/>
    <s v="278.66"/>
    <s v="251.05"/>
    <n v="172"/>
    <s v="AG RESPOSTA 1º CONTATO"/>
    <s v="ALTERACAO DEBITO"/>
    <n v="33"/>
    <x v="28"/>
    <s v="15.30"/>
    <s v="luciano"/>
    <s v="91 a 180"/>
    <s v="ACIONAMENTO"/>
    <x v="4"/>
  </r>
  <r>
    <s v="COGECOM"/>
    <n v="3013919716"/>
    <s v="GUSTAVO COLEI TORRES"/>
    <s v="OUT"/>
    <s v="OUTROS"/>
    <n v="12847728619"/>
    <x v="1"/>
    <s v="334.60"/>
    <s v="101.68"/>
    <n v="147"/>
    <s v="EM NEGOCIAÇÃO"/>
    <s v="NEGOCIAÇÃO VIA WHATSAPP"/>
    <n v="30"/>
    <x v="28"/>
    <s v="10.42"/>
    <s v="anne"/>
    <s v="91 a 180"/>
    <s v="CPC"/>
    <x v="2"/>
  </r>
  <r>
    <s v="COGECOM"/>
    <n v="760359829"/>
    <s v="AMERICO KIYOSHI TATENO"/>
    <s v="OUT"/>
    <s v="OUTROS"/>
    <n v="9968795879"/>
    <x v="1"/>
    <s v="0.00"/>
    <s v="144.11"/>
    <n v="138"/>
    <s v="ACORDO VIGENTE COLCHÃO EM DIA"/>
    <s v="NEGOCIAÇÃO VIA WHATSAPP"/>
    <n v="30"/>
    <x v="28"/>
    <s v="16.23"/>
    <s v="anakeppe"/>
    <s v="91 a 180"/>
    <s v="CPC"/>
    <x v="2"/>
  </r>
  <r>
    <s v="COGECOM"/>
    <n v="46181743"/>
    <s v="FELIPE DE SOUZA BORTOLUZZI"/>
    <s v="OUT"/>
    <s v="OUTROS"/>
    <n v="24160938"/>
    <x v="1"/>
    <s v="0.00"/>
    <s v="134.00"/>
    <n v="71"/>
    <s v="EM NEGOCIAÇÃO"/>
    <s v="NEGOCIAÇÃO VIA WHATSAPP"/>
    <n v="30"/>
    <x v="28"/>
    <s v="11.28"/>
    <s v="roberto"/>
    <s v="61 a 90"/>
    <s v="CPC"/>
    <x v="2"/>
  </r>
  <r>
    <s v="COGECOM"/>
    <n v="106700367"/>
    <s v="FRANCIS HELEN ANDRADE"/>
    <s v="OUT"/>
    <s v="OUTROS"/>
    <n v="9621921988"/>
    <x v="1"/>
    <s v="283.13"/>
    <s v="242.12"/>
    <n v="70"/>
    <s v="EM NEGOCIAÇÃO"/>
    <s v="GERAÇÃO DE ACORDO"/>
    <n v="30"/>
    <x v="28"/>
    <s v="16.14"/>
    <s v="roberto"/>
    <s v="61 a 90"/>
    <s v="CPC"/>
    <x v="2"/>
  </r>
  <r>
    <s v="COGECOM"/>
    <n v="3001666871"/>
    <s v="GEANE SOUZA DA ROCHA CAXITO MARRA"/>
    <s v="OUT"/>
    <s v="OUTROS"/>
    <n v="4472464616"/>
    <x v="1"/>
    <s v="0.00"/>
    <s v="194.01"/>
    <n v="74"/>
    <s v="EM NEGOCIAÇÃO"/>
    <s v="NEGOCIAÇÃO VIA WHATSAPP"/>
    <n v="30"/>
    <x v="28"/>
    <s v="16.38"/>
    <s v="roberto"/>
    <s v="61 a 90"/>
    <s v="CPC"/>
    <x v="2"/>
  </r>
  <r>
    <s v="COGECOM"/>
    <n v="110425863"/>
    <s v="ELISA CAROLINA DE SANTI NOGUEIRA"/>
    <s v="OUT"/>
    <s v="OUTROS"/>
    <n v="7467978936"/>
    <x v="1"/>
    <s v="0.00"/>
    <s v="112.08"/>
    <n v="62"/>
    <s v="EM NEGOCIAÇÃO"/>
    <s v="NEGOCIAÇÃO VIA WHATSAPP"/>
    <n v="30"/>
    <x v="28"/>
    <s v="17.05"/>
    <s v="roberto"/>
    <s v="61 a 90"/>
    <s v="CPC"/>
    <x v="2"/>
  </r>
  <r>
    <s v="COGECOM"/>
    <n v="56842667"/>
    <s v="GIUPIES COOKIE &amp; COFFEE LTDA"/>
    <s v="OUT"/>
    <s v="OUTROS"/>
    <n v="18898992000181"/>
    <x v="1"/>
    <s v="0.00"/>
    <s v="246.38"/>
    <n v="44"/>
    <s v="EM NEGOCIAÇÃO"/>
    <s v="NEGOCIAÇÃO VIA WHATSAPP"/>
    <n v="30"/>
    <x v="28"/>
    <s v="14.53"/>
    <s v="roberto"/>
    <s v="31 a 60"/>
    <s v="CPC"/>
    <x v="2"/>
  </r>
  <r>
    <s v="COGECOM"/>
    <n v="8799415"/>
    <s v="EMANUEL PINTO DA SILVA"/>
    <s v="OUT"/>
    <s v="OUTROS"/>
    <n v="6851960621"/>
    <x v="1"/>
    <s v="270.31"/>
    <s v="270.31"/>
    <n v="79"/>
    <s v="EM NEGOCIAÇÃO"/>
    <s v="NEGOCIAÇÃO VIA WHATSAPP"/>
    <n v="30"/>
    <x v="28"/>
    <s v="12.51"/>
    <s v="roberto"/>
    <s v="61 a 90"/>
    <s v="CPC"/>
    <x v="2"/>
  </r>
  <r>
    <s v="COGECOM"/>
    <n v="74764128"/>
    <s v="ELAINE APARECIDA DA ROSA"/>
    <s v="OUT"/>
    <s v="OUTROS"/>
    <n v="1992700907"/>
    <x v="1"/>
    <s v="293.38"/>
    <s v="293.38"/>
    <n v="46"/>
    <s v="EM NEGOCIAÇÃO"/>
    <s v="NEGOCIAÇÃO VIA WHATSAPP"/>
    <n v="30"/>
    <x v="28"/>
    <s v="11.03"/>
    <s v="roberto"/>
    <s v="31 a 60"/>
    <s v="CPC"/>
    <x v="2"/>
  </r>
  <r>
    <s v="COGECOM"/>
    <n v="4002987619"/>
    <s v="MICHELLE THAIS BLASI"/>
    <s v="OUT"/>
    <s v="OUTROS"/>
    <n v="31651833842"/>
    <x v="1"/>
    <s v="0.00"/>
    <s v="86.67"/>
    <n v="48"/>
    <s v="EM NEGOCIAÇÃO"/>
    <s v="NEGOCIAÇÃO VIA WHATSAPP"/>
    <n v="30"/>
    <x v="28"/>
    <s v="10.05"/>
    <s v="anne"/>
    <s v="31 a 60"/>
    <s v="CPC"/>
    <x v="2"/>
  </r>
  <r>
    <s v="COGECOM"/>
    <n v="3611426"/>
    <s v="FAGNER CRISTOFOLI"/>
    <s v="OUT"/>
    <s v="OUTROS"/>
    <n v="6087702997"/>
    <x v="1"/>
    <s v="1346.87"/>
    <s v="1222.15"/>
    <n v="49"/>
    <s v="AG RESPOSTA 1º CONTATO"/>
    <s v="GERAÇÃO DE ACORDO"/>
    <n v="36"/>
    <x v="28"/>
    <s v="9.36"/>
    <s v="anakeppe"/>
    <s v="31 a 60"/>
    <s v="CPC"/>
    <x v="4"/>
  </r>
  <r>
    <s v="COGECOM"/>
    <n v="6188796"/>
    <s v="VIVIANE RODRIGUES ROMA DE TOLEDO"/>
    <s v="OUT"/>
    <s v="OUTROS"/>
    <n v="27243381898"/>
    <x v="1"/>
    <s v="0.00"/>
    <s v="92.88"/>
    <n v="45"/>
    <m/>
    <s v="ALTERACAO DEBITO"/>
    <n v="9999"/>
    <x v="28"/>
    <s v="15.32"/>
    <s v="luciano"/>
    <s v="31 a 60"/>
    <s v="ACIONAMENTO"/>
    <x v="4"/>
  </r>
  <r>
    <s v="COGECOM"/>
    <n v="3082331298"/>
    <s v="VAGNER MUCELIN"/>
    <s v="OUT"/>
    <s v="OUTROS"/>
    <n v="97722456049"/>
    <x v="1"/>
    <s v="0.00"/>
    <s v="2516.97"/>
    <n v="88"/>
    <s v="EM NEGOCIAÇÃO"/>
    <s v="BAIXA ACORDO/CHEQUE-PRE"/>
    <n v="44"/>
    <x v="28"/>
    <s v="15.18"/>
    <s v="luciano"/>
    <s v="61 a 90"/>
    <s v="CPC"/>
    <x v="2"/>
  </r>
  <r>
    <s v="COGECOM"/>
    <n v="10033767333"/>
    <s v="DOUGLAS GONCALVES LARANJEIRA"/>
    <s v="OUT"/>
    <s v="OUTROS"/>
    <n v="1206356588"/>
    <x v="0"/>
    <s v="1093.34"/>
    <s v="61.53"/>
    <n v="204"/>
    <s v="EM NEGOCIAÇÃO"/>
    <s v="NEGOCIAÇÃO VIA WHATSAPP"/>
    <n v="33"/>
    <x v="29"/>
    <s v="9.40"/>
    <s v="anne"/>
    <s v="181 a 360"/>
    <s v="CPC"/>
    <x v="2"/>
  </r>
  <r>
    <s v="COGECOM"/>
    <n v="31475337"/>
    <s v="FABIANO RODRIGUES DA SILVA"/>
    <s v="OUT"/>
    <s v="OUTROS"/>
    <n v="401367959"/>
    <x v="0"/>
    <s v="2706.23"/>
    <s v="353.88"/>
    <n v="248"/>
    <s v="EM NEGOCIAÇÃO"/>
    <s v="GERAÇÃO DE ACORDO"/>
    <n v="33"/>
    <x v="29"/>
    <s v="11.07"/>
    <s v="amanda"/>
    <s v="181 a 360"/>
    <s v="CPC"/>
    <x v="2"/>
  </r>
  <r>
    <s v="COGECOM"/>
    <n v="3011097407"/>
    <s v="Franciele Cesarino"/>
    <s v="OUT"/>
    <s v="OUTROS"/>
    <n v="5038152686"/>
    <x v="1"/>
    <s v="0.00"/>
    <s v="136.49"/>
    <n v="192"/>
    <s v="EM NEGOCIAÇÃO"/>
    <s v="NEGOCIAÇÃO VIA WHATSAPP"/>
    <n v="33"/>
    <x v="29"/>
    <s v="15.51"/>
    <s v="amanda"/>
    <s v="181 a 360"/>
    <s v="CPC"/>
    <x v="2"/>
  </r>
  <r>
    <s v="COGECOM"/>
    <n v="44541300"/>
    <s v="Natanael Dutra Tavares"/>
    <s v="OUT"/>
    <s v="OUTROS"/>
    <n v="6275851910"/>
    <x v="1"/>
    <s v="0.00"/>
    <s v="328.43"/>
    <n v="187"/>
    <s v="EM NEGOCIAÇÃO"/>
    <s v="NEGOCIAÇÃO VIA WHATSAPP"/>
    <n v="33"/>
    <x v="29"/>
    <s v="10.24"/>
    <s v="amanda"/>
    <s v="181 a 360"/>
    <s v="CPC"/>
    <x v="2"/>
  </r>
  <r>
    <s v="COGECOM"/>
    <n v="69247803"/>
    <s v="ALEXANDRE PERES SCANDELARI"/>
    <s v="OUT"/>
    <s v="OUTROS"/>
    <n v="4143476843"/>
    <x v="1"/>
    <s v="412.45"/>
    <s v="301.18"/>
    <n v="182"/>
    <s v="EM NEGOCIAÇÃO"/>
    <s v="GERAÇÃO DE ACORDO"/>
    <n v="33"/>
    <x v="29"/>
    <s v="10.05"/>
    <s v="amanda"/>
    <s v="181 a 360"/>
    <s v="CPC"/>
    <x v="2"/>
  </r>
  <r>
    <s v="COGECOM"/>
    <n v="10272458"/>
    <s v="DAMOM GOMES FARIAS"/>
    <s v="OUT"/>
    <s v="OUTROS"/>
    <n v="51681846187"/>
    <x v="1"/>
    <s v="374.70"/>
    <s v="200.19"/>
    <n v="288"/>
    <s v="NÃO LOCALIZADO"/>
    <s v="PESQUISA NEGATIVA"/>
    <n v="33"/>
    <x v="29"/>
    <s v="13.43"/>
    <s v="amanda"/>
    <s v="181 a 360"/>
    <s v="ACIONAMENTO"/>
    <x v="0"/>
  </r>
  <r>
    <s v="COGECOM"/>
    <n v="3011909737"/>
    <s v="JOSE JUNIOR APARECIDO SOUZA"/>
    <s v="OUT"/>
    <s v="OUTROS"/>
    <n v="11058368605"/>
    <x v="1"/>
    <s v="0.00"/>
    <s v="107.53"/>
    <n v="154"/>
    <s v="EM NEGOCIAÇÃO"/>
    <s v="NEGOCIAÇÃO VIA WHATSAPP"/>
    <n v="33"/>
    <x v="29"/>
    <s v="11.45"/>
    <s v="anne"/>
    <s v="91 a 180"/>
    <s v="CPC"/>
    <x v="2"/>
  </r>
  <r>
    <s v="COGECOM"/>
    <n v="10005756357"/>
    <s v="JORGE PAULO CARNEIRO PASSOS"/>
    <s v="OUT"/>
    <s v="OUTROS"/>
    <n v="95149376515"/>
    <x v="0"/>
    <s v="593.40"/>
    <s v="290.85"/>
    <n v="170"/>
    <s v="EM NEGOCIAÇÃO"/>
    <s v="GERAÇÃO DE ACORDO"/>
    <n v="33"/>
    <x v="29"/>
    <s v="13.26"/>
    <s v="amanda"/>
    <s v="91 a 180"/>
    <s v="CPC"/>
    <x v="2"/>
  </r>
  <r>
    <s v="COGECOM"/>
    <n v="3014340487"/>
    <s v="FELIPE DOUGLAS GONCALVES"/>
    <s v="OUT"/>
    <s v="OUTROS"/>
    <n v="12619765684"/>
    <x v="1"/>
    <s v="54.87"/>
    <s v="54.87"/>
    <n v="150"/>
    <s v="EM NEGOCIAÇÃO"/>
    <s v="NEGOCIAÇÃO VIA WHATSAPP"/>
    <n v="33"/>
    <x v="29"/>
    <s v="10.36"/>
    <s v="anne"/>
    <s v="91 a 180"/>
    <s v="CPC"/>
    <x v="2"/>
  </r>
  <r>
    <s v="COGECOM"/>
    <n v="3005732543"/>
    <s v="JEFFERSON DOS SANTOS FRANCO"/>
    <s v="OUT"/>
    <s v="OUTROS"/>
    <n v="10359420621"/>
    <x v="1"/>
    <s v="0.00"/>
    <s v="87.53"/>
    <n v="99"/>
    <s v="EM NEGOCIAÇÃO"/>
    <s v="NEGOCIAÇÃO VIA WHATSAPP"/>
    <n v="33"/>
    <x v="29"/>
    <s v="13.25"/>
    <s v="anne"/>
    <s v="91 a 180"/>
    <s v="CPC"/>
    <x v="2"/>
  </r>
  <r>
    <s v="COGECOM"/>
    <n v="29358311"/>
    <s v="JOSIANE CALEFFI"/>
    <s v="OUT"/>
    <s v="OUTROS"/>
    <n v="1902974921"/>
    <x v="0"/>
    <s v="497.95"/>
    <s v="237.12"/>
    <n v="62"/>
    <s v="EM NEGOCIAÇÃO"/>
    <s v="NEGOCIAÇÃO VIA WHATSAPP"/>
    <n v="33"/>
    <x v="29"/>
    <s v="16.42"/>
    <s v="roberto"/>
    <s v="61 a 90"/>
    <s v="CPC"/>
    <x v="2"/>
  </r>
  <r>
    <s v="COGECOM"/>
    <n v="9498001"/>
    <s v="WILSON DE AQUINO"/>
    <s v="OUT"/>
    <s v="OUTROS"/>
    <n v="66027446900"/>
    <x v="1"/>
    <s v="0.00"/>
    <s v="2835.67"/>
    <n v="76"/>
    <s v="EM NEGOCIAÇÃO"/>
    <s v="ESTORNO"/>
    <n v="40"/>
    <x v="29"/>
    <s v="12.38"/>
    <s v="luciano"/>
    <s v="61 a 90"/>
    <s v="ACIONAMENTO"/>
    <x v="2"/>
  </r>
  <r>
    <s v="COGECOM"/>
    <n v="4662415"/>
    <s v="GILSARA MARIA RIBEIRO DE OLIVEIRA CELULARE"/>
    <s v="OUT"/>
    <s v="OUTROS"/>
    <n v="1527996808"/>
    <x v="1"/>
    <s v="0.00"/>
    <s v="57.55"/>
    <n v="69"/>
    <m/>
    <s v="BAIXA ACORDO/CHEQUE-PRE"/>
    <n v="9999"/>
    <x v="29"/>
    <s v="15.39"/>
    <s v="luciano"/>
    <s v="61 a 90"/>
    <s v="CPC"/>
    <x v="4"/>
  </r>
  <r>
    <s v="COGECOM"/>
    <n v="3002534047"/>
    <s v="MARCIA CRISTINA ALMEIDA COSTA RODRIGUES"/>
    <s v="OUT"/>
    <s v="OUTROS"/>
    <n v="3175191665"/>
    <x v="1"/>
    <s v="0.00"/>
    <s v="128.92"/>
    <n v="62"/>
    <s v="EM NEGOCIAÇÃO"/>
    <s v="BAIXA ACORDO/CHEQUE-PRE"/>
    <n v="42"/>
    <x v="29"/>
    <s v="15.40"/>
    <s v="luciano"/>
    <s v="61 a 90"/>
    <s v="CPC"/>
    <x v="2"/>
  </r>
  <r>
    <s v="COGECOM"/>
    <n v="86761714"/>
    <s v="CRISTIANO CANTUARIA ALVES"/>
    <s v="OUT"/>
    <s v="OUTROS"/>
    <n v="1761903926"/>
    <x v="1"/>
    <s v="0.00"/>
    <s v="188.49"/>
    <n v="55"/>
    <s v="EM NEGOCIAÇÃO"/>
    <s v="BAIXA ACORDO/CHEQUE-PRE"/>
    <n v="42"/>
    <x v="29"/>
    <s v="15.38"/>
    <s v="luciano"/>
    <s v="31 a 60"/>
    <s v="CPC"/>
    <x v="2"/>
  </r>
  <r>
    <s v="COGECOM"/>
    <n v="3693112"/>
    <s v="ARAIS VILLAS BOAS LIMA"/>
    <s v="OUT"/>
    <s v="OUTROS"/>
    <n v="61225797934"/>
    <x v="1"/>
    <s v="247.76"/>
    <s v="252.76"/>
    <n v="194"/>
    <s v="EM NEGOCIAÇÃO"/>
    <s v="NEGOCIAÇÃO VIA WHATSAPP"/>
    <n v="34"/>
    <x v="30"/>
    <s v="13.21"/>
    <s v="amanda"/>
    <s v="181 a 360"/>
    <s v="CPC"/>
    <x v="2"/>
  </r>
  <r>
    <s v="COGECOM"/>
    <n v="72125748"/>
    <s v="Daniel Moscibrocki"/>
    <s v="OUT"/>
    <s v="OUTROS"/>
    <n v="3326200935"/>
    <x v="1"/>
    <s v="0.00"/>
    <s v="180.88"/>
    <n v="191"/>
    <s v="EM NEGOCIAÇÃO"/>
    <s v="ALTERACAO DEBITO"/>
    <n v="35"/>
    <x v="30"/>
    <s v="12.26"/>
    <s v="elizabel"/>
    <s v="181 a 360"/>
    <s v="ACIONAMENTO"/>
    <x v="2"/>
  </r>
  <r>
    <s v="COGECOM"/>
    <n v="104789123"/>
    <s v="Karolini Teixeira Aguiar"/>
    <s v="OUT"/>
    <s v="OUTROS"/>
    <n v="9912969901"/>
    <x v="1"/>
    <s v="286.25"/>
    <s v="155.22"/>
    <n v="194"/>
    <s v="AG RESPOSTA 1º CONTATO"/>
    <s v="GERAÇÃO DE ACORDO"/>
    <n v="34"/>
    <x v="30"/>
    <s v="16.47"/>
    <s v="anakeppe"/>
    <s v="181 a 360"/>
    <s v="CPC"/>
    <x v="4"/>
  </r>
  <r>
    <s v="COGECOM"/>
    <n v="950019392"/>
    <s v="MARIA NELZA DE FREITAS"/>
    <s v="OUT"/>
    <s v="OUTROS"/>
    <n v="93129165134"/>
    <x v="1"/>
    <s v="0.00"/>
    <s v="93.86"/>
    <n v="159"/>
    <s v="EM NEGOCIAÇÃO"/>
    <s v="ALTERACAO DEBITO"/>
    <n v="36"/>
    <x v="30"/>
    <s v="12.25"/>
    <s v="elizabel"/>
    <s v="91 a 180"/>
    <s v="ACIONAMENTO"/>
    <x v="2"/>
  </r>
  <r>
    <s v="COGECOM"/>
    <n v="81704046"/>
    <s v="SUSANA DOS SANTOS CABRAL"/>
    <s v="OUT"/>
    <s v="OUTROS"/>
    <n v="2644962994"/>
    <x v="1"/>
    <s v="0.00"/>
    <s v="720.22"/>
    <n v="189"/>
    <s v="EM NEGOCIAÇÃO"/>
    <s v="ALTERACAO DEBITO"/>
    <n v="35"/>
    <x v="30"/>
    <s v="12.24"/>
    <s v="elizabel"/>
    <s v="181 a 360"/>
    <s v="ACIONAMENTO"/>
    <x v="2"/>
  </r>
  <r>
    <s v="COGECOM"/>
    <n v="64269809"/>
    <s v="MARCOS DE AGUIAR CORREIA MOTA"/>
    <s v="OUT"/>
    <s v="OUTROS"/>
    <n v="1999465903"/>
    <x v="1"/>
    <s v="0.00"/>
    <s v="196.91"/>
    <n v="88"/>
    <s v="EM NEGOCIAÇÃO"/>
    <s v="ALTERACAO DEBITO"/>
    <n v="35"/>
    <x v="30"/>
    <s v="12.27"/>
    <s v="elizabel"/>
    <s v="61 a 90"/>
    <s v="ACIONAMENTO"/>
    <x v="2"/>
  </r>
  <r>
    <s v="COGECOM"/>
    <n v="77705475"/>
    <s v="Tiago Francisco Meleiro Zubiolo"/>
    <s v="OUT"/>
    <s v="OUTROS"/>
    <n v="5486395906"/>
    <x v="1"/>
    <s v="650.25"/>
    <s v="588.86"/>
    <n v="151"/>
    <m/>
    <s v="GERAÇÃO DE ACORDO"/>
    <n v="9999"/>
    <x v="30"/>
    <s v="14.57"/>
    <s v="anakeppe"/>
    <s v="91 a 180"/>
    <s v="CPC"/>
    <x v="4"/>
  </r>
  <r>
    <s v="COGECOM"/>
    <n v="80936040"/>
    <s v="Jose Nery Pereira"/>
    <s v="OUT"/>
    <s v="OUTROS"/>
    <n v="15332721900"/>
    <x v="1"/>
    <s v="0.00"/>
    <s v="2421.72"/>
    <n v="121"/>
    <s v="SEM INTERESSE"/>
    <s v="NEGOCIAÇÃO VIA TELEFONE"/>
    <n v="34"/>
    <x v="30"/>
    <s v="14.16"/>
    <s v="amanda"/>
    <s v="91 a 180"/>
    <s v="CPC"/>
    <x v="1"/>
  </r>
  <r>
    <s v="COGECOM"/>
    <n v="98073389"/>
    <s v="ROBSON LUIZ DOS MARTYRES"/>
    <s v="OUT"/>
    <s v="OUTROS"/>
    <n v="1880145944"/>
    <x v="1"/>
    <s v="0.00"/>
    <s v="120.85"/>
    <n v="50"/>
    <s v="EM NEGOCIAÇÃO"/>
    <s v="NEGOCIAÇÃO VIA TELEFONE"/>
    <n v="34"/>
    <x v="30"/>
    <s v="14.41"/>
    <s v="amanda"/>
    <s v="31 a 60"/>
    <s v="CPC"/>
    <x v="2"/>
  </r>
  <r>
    <s v="COGECOM"/>
    <n v="95491899"/>
    <s v="ADI MAISSON DA  COSTA"/>
    <s v="OUT"/>
    <s v="OUTROS"/>
    <n v="8053417906"/>
    <x v="1"/>
    <s v="0.00"/>
    <s v="91.48"/>
    <n v="43"/>
    <s v="SEM INTERESSE"/>
    <s v="NEGOCIAÇÃO VIA TELEFONE"/>
    <n v="34"/>
    <x v="30"/>
    <s v="15.02"/>
    <s v="anakeppe"/>
    <s v="31 a 60"/>
    <s v="CPC"/>
    <x v="1"/>
  </r>
  <r>
    <s v="COGECOM"/>
    <n v="2238950"/>
    <s v="MARIA VERA BERIBILLI SIQUEIRA"/>
    <s v="OUT"/>
    <s v="OUTROS"/>
    <n v="9276528890"/>
    <x v="1"/>
    <s v="0.00"/>
    <s v="85.04"/>
    <n v="48"/>
    <s v="EM NEGOCIAÇÃO"/>
    <s v="NEGOCIAÇÃO VIA WHATSAPP"/>
    <n v="34"/>
    <x v="30"/>
    <s v="9.10"/>
    <s v="anne"/>
    <s v="31 a 60"/>
    <s v="CPC"/>
    <x v="2"/>
  </r>
  <r>
    <s v="COGECOM"/>
    <n v="27140319"/>
    <s v="Gutierre Costa Monteiro"/>
    <s v="OUT"/>
    <s v="OUTROS"/>
    <n v="66910200306"/>
    <x v="1"/>
    <s v="0.00"/>
    <s v="120.33"/>
    <n v="44"/>
    <m/>
    <s v="ALTERACAO DEBITO"/>
    <n v="9999"/>
    <x v="30"/>
    <s v="12.30"/>
    <s v="elizabel"/>
    <s v="31 a 60"/>
    <s v="ACIONAMENTO"/>
    <x v="4"/>
  </r>
  <r>
    <s v="COGECOM"/>
    <n v="4002025507"/>
    <s v="Mariana Klein Batista"/>
    <s v="OUT"/>
    <s v="OUTROS"/>
    <n v="4178766961"/>
    <x v="1"/>
    <s v="0.00"/>
    <s v="185.24"/>
    <n v="45"/>
    <s v="EM NEGOCIAÇÃO"/>
    <s v="ALTERACAO DEBITO"/>
    <n v="35"/>
    <x v="30"/>
    <s v="12.28"/>
    <s v="elizabel"/>
    <s v="31 a 60"/>
    <s v="ACIONAMENTO"/>
    <x v="2"/>
  </r>
  <r>
    <s v="COGECOM"/>
    <n v="62899023"/>
    <s v="LUIZA DE FREITAS"/>
    <s v="OUT"/>
    <s v="OUTROS"/>
    <n v="3014135925"/>
    <x v="1"/>
    <s v="0.00"/>
    <s v="63.21"/>
    <n v="44"/>
    <s v="EM NEGOCIAÇÃO"/>
    <s v="ALTERACAO DEBITO"/>
    <n v="35"/>
    <x v="30"/>
    <s v="12.23"/>
    <s v="elizabel"/>
    <s v="31 a 60"/>
    <s v="ACIONAMENTO"/>
    <x v="2"/>
  </r>
  <r>
    <s v="COGECOM"/>
    <n v="52286328"/>
    <s v="Robert Alexander Assis Schmidt"/>
    <s v="OUT"/>
    <s v="OUTROS"/>
    <n v="5669262964"/>
    <x v="1"/>
    <s v="0.00"/>
    <s v="159.92"/>
    <n v="44"/>
    <m/>
    <s v="ALTERACAO DEBITO"/>
    <n v="9999"/>
    <x v="30"/>
    <s v="12.28"/>
    <s v="elizabel"/>
    <s v="31 a 60"/>
    <s v="ACIONAMENTO"/>
    <x v="4"/>
  </r>
  <r>
    <s v="COGECOM"/>
    <n v="3014611162"/>
    <s v="CLAUDIANE SILVA REZENDE"/>
    <s v="OUT"/>
    <s v="OUTROS"/>
    <n v="6222029604"/>
    <x v="1"/>
    <s v="0.00"/>
    <s v="50.25"/>
    <n v="186"/>
    <s v="EM NEGOCIAÇÃO"/>
    <s v="ALTERACAO DEBITO"/>
    <n v="40"/>
    <x v="31"/>
    <s v="10.34"/>
    <s v="elizabel"/>
    <s v="181 a 360"/>
    <s v="ACIONAMENTO"/>
    <x v="2"/>
  </r>
  <r>
    <s v="COGECOM"/>
    <n v="73959090"/>
    <s v="KARINA TUSI DE FREITAS"/>
    <s v="OUT"/>
    <s v="OUTROS"/>
    <n v="78035503049"/>
    <x v="1"/>
    <s v="538.50"/>
    <s v="286.75"/>
    <n v="195"/>
    <m/>
    <s v="GERAÇÃO DE ACORDO"/>
    <n v="9999"/>
    <x v="31"/>
    <s v="11.21"/>
    <s v="rafael"/>
    <s v="181 a 360"/>
    <s v="CPC"/>
    <x v="4"/>
  </r>
  <r>
    <s v="COGECOM"/>
    <n v="105522422"/>
    <s v="Thiago da Silva Rodrigues"/>
    <s v="OUT"/>
    <s v="OUTROS"/>
    <n v="9191025907"/>
    <x v="1"/>
    <s v="0.00"/>
    <s v="35.94"/>
    <n v="285"/>
    <s v="AG RESPOSTA 1º CONTATO"/>
    <s v="ALTERACAO DEBITO"/>
    <n v="36"/>
    <x v="31"/>
    <s v="10.34"/>
    <s v="elizabel"/>
    <s v="181 a 360"/>
    <s v="ACIONAMENTO"/>
    <x v="4"/>
  </r>
  <r>
    <s v="COGECOM"/>
    <n v="3012030312"/>
    <s v="CRISTIAN BASILIO SILVA"/>
    <s v="OUT"/>
    <s v="OUTROS"/>
    <n v="6880953646"/>
    <x v="1"/>
    <s v="0.00"/>
    <s v="104.49"/>
    <n v="167"/>
    <s v="EM NEGOCIAÇÃO"/>
    <s v="ALTERACAO DEBITO"/>
    <n v="37"/>
    <x v="31"/>
    <s v="10.32"/>
    <s v="elizabel"/>
    <s v="91 a 180"/>
    <s v="ACIONAMENTO"/>
    <x v="2"/>
  </r>
  <r>
    <s v="COGECOM"/>
    <n v="94871230"/>
    <s v="Cristiano Siquinelli Silva"/>
    <s v="OUT"/>
    <s v="OUTROS"/>
    <n v="4439868940"/>
    <x v="1"/>
    <s v="47.80"/>
    <s v="47.80"/>
    <n v="164"/>
    <s v="EM NEGOCIAÇÃO"/>
    <s v="NEGOCIAÇÃO VIA WHATSAPP"/>
    <n v="35"/>
    <x v="31"/>
    <s v="10.27"/>
    <s v="amanda"/>
    <s v="91 a 180"/>
    <s v="CPC"/>
    <x v="2"/>
  </r>
  <r>
    <s v="COGECOM"/>
    <n v="81061145"/>
    <s v="Cleverson Marcel Loureiro Kruger"/>
    <s v="OUT"/>
    <s v="OUTROS"/>
    <n v="1488262969"/>
    <x v="1"/>
    <s v="0.00"/>
    <s v="681.84"/>
    <n v="108"/>
    <s v="SEM INTERESSE"/>
    <s v="NEGOCIAÇÃO VIA TELEFONE"/>
    <n v="35"/>
    <x v="31"/>
    <s v="14.18"/>
    <s v="amanda"/>
    <s v="91 a 180"/>
    <s v="CPC"/>
    <x v="1"/>
  </r>
  <r>
    <s v="COGECOM"/>
    <n v="4000198964"/>
    <s v="Gabriel Coppi Aquino de Oliveira"/>
    <s v="OUT"/>
    <s v="OUTROS"/>
    <n v="35367187870"/>
    <x v="1"/>
    <s v="4632.33"/>
    <s v="4632.33"/>
    <n v="143"/>
    <s v="EM NEGOCIAÇÃO"/>
    <s v="NEGOCIAÇÃO VIA WHATSAPP"/>
    <n v="35"/>
    <x v="31"/>
    <s v="10.39"/>
    <s v="amanda"/>
    <s v="91 a 180"/>
    <s v="CPC"/>
    <x v="2"/>
  </r>
  <r>
    <s v="COGECOM"/>
    <n v="4002511380"/>
    <s v="DCOQUIMICA COMERCIO DE PRODUTOS QUIMICOS LTDA"/>
    <s v="OUT"/>
    <s v="OUTROS"/>
    <n v="96246430082"/>
    <x v="1"/>
    <s v="0.00"/>
    <s v="1267.17"/>
    <n v="146"/>
    <s v="AG RESPOSTA 1º CONTATO"/>
    <s v="ENVIADO MSG/E-MAIL 1º CONTATO"/>
    <n v="35"/>
    <x v="31"/>
    <s v="11.57"/>
    <s v="anakeppe"/>
    <s v="91 a 180"/>
    <s v="ACIONAMENTO"/>
    <x v="4"/>
  </r>
  <r>
    <s v="COGECOM"/>
    <n v="3001530358"/>
    <s v="MARCOS VINICIUS MATIAS DE MELO"/>
    <s v="OUT"/>
    <s v="OUTROS"/>
    <n v="81786808668"/>
    <x v="1"/>
    <s v="0.00"/>
    <s v="1304.44"/>
    <n v="94"/>
    <s v="AG RESPOSTA 1º CONTATO"/>
    <s v="ENVIADO MSG/E-MAIL 1º CONTATO"/>
    <n v="35"/>
    <x v="31"/>
    <s v="11.46"/>
    <s v="anakeppe"/>
    <s v="91 a 180"/>
    <s v="ACIONAMENTO"/>
    <x v="4"/>
  </r>
  <r>
    <s v="COGECOM"/>
    <n v="84984244"/>
    <s v="FLÁVIO HENRIQUE ZANDONADI BERNAL"/>
    <s v="OUT"/>
    <s v="OUTROS"/>
    <n v="3685431960"/>
    <x v="1"/>
    <s v="2281.58"/>
    <s v="2756.77"/>
    <n v="78"/>
    <s v="EM NEGOCIAÇÃO"/>
    <s v="NEGOCIAÇÃO VIA WHATSAPP"/>
    <n v="35"/>
    <x v="31"/>
    <s v="11.36"/>
    <s v="amanda"/>
    <s v="61 a 90"/>
    <s v="CPC"/>
    <x v="2"/>
  </r>
  <r>
    <s v="COGECOM"/>
    <n v="82621560"/>
    <s v="DIEGO BERNARDINO SILVA"/>
    <s v="OUT"/>
    <s v="OUTROS"/>
    <n v="5808828961"/>
    <x v="1"/>
    <s v="0.00"/>
    <s v="2228.83"/>
    <n v="90"/>
    <s v="EM NEGOCIAÇÃO"/>
    <s v="NEGOCIAÇÃO VIA WHATSAPP"/>
    <n v="35"/>
    <x v="31"/>
    <s v="11.44"/>
    <s v="amanda"/>
    <s v="61 a 90"/>
    <s v="CPC"/>
    <x v="2"/>
  </r>
  <r>
    <s v="COGECOM"/>
    <n v="3013482532"/>
    <s v="DANIEL DIAS DE OLIVEIRA FILHO"/>
    <s v="OUT"/>
    <s v="OUTROS"/>
    <n v="1424218632"/>
    <x v="0"/>
    <s v="139.12"/>
    <s v="24.19"/>
    <n v="86"/>
    <s v="EM NEGOCIAÇÃO"/>
    <s v="NEGOCIAÇÃO VIA WHATSAPP"/>
    <n v="35"/>
    <x v="31"/>
    <s v="9.45"/>
    <s v="amanda"/>
    <s v="61 a 90"/>
    <s v="CPC"/>
    <x v="2"/>
  </r>
  <r>
    <s v="COGECOM"/>
    <n v="110442024"/>
    <s v="ANDERSON COSTA ROSA"/>
    <s v="OUT"/>
    <s v="OUTROS"/>
    <n v="8625707947"/>
    <x v="1"/>
    <s v="0.00"/>
    <s v="232.65"/>
    <n v="71"/>
    <s v="EM NEGOCIAÇÃO"/>
    <s v="NEGOCIAÇÃO VIA WHATSAPP"/>
    <n v="35"/>
    <x v="31"/>
    <s v="16.55"/>
    <s v="amanda"/>
    <s v="61 a 90"/>
    <s v="CPC"/>
    <x v="2"/>
  </r>
  <r>
    <s v="COGECOM"/>
    <n v="3060004"/>
    <s v="CODEL SERVIÇOS HOTELEIROS LIMITADA"/>
    <s v="OUT"/>
    <s v="OUTROS"/>
    <n v="83083964000178"/>
    <x v="1"/>
    <s v="3328.74"/>
    <s v="3134.40"/>
    <n v="66"/>
    <s v="ACORDO VIGENTE COLCHÃO EM DIA"/>
    <s v="NEGOCIAÇÃO VIA WHATSAPP"/>
    <n v="35"/>
    <x v="31"/>
    <s v="11.09"/>
    <s v="amanda"/>
    <s v="61 a 90"/>
    <s v="CPC"/>
    <x v="2"/>
  </r>
  <r>
    <s v="COGECOM"/>
    <n v="2480024046"/>
    <s v="Marcelo de Jesus Rodrigues Novaes"/>
    <s v="OUT"/>
    <s v="OUTROS"/>
    <n v="98418211172"/>
    <x v="1"/>
    <s v="0.00"/>
    <s v="223.37"/>
    <n v="75"/>
    <s v="EM NEGOCIAÇÃO"/>
    <s v="ALTERACAO DEBITO"/>
    <n v="36"/>
    <x v="31"/>
    <s v="11.06"/>
    <s v="elizabel"/>
    <s v="61 a 90"/>
    <s v="ACIONAMENTO"/>
    <x v="2"/>
  </r>
  <r>
    <s v="COGECOM"/>
    <n v="95290125"/>
    <s v="MOZART UVANDE NOGUEIRA"/>
    <s v="OUT"/>
    <s v="OUTROS"/>
    <n v="4602697984"/>
    <x v="1"/>
    <s v="0.00"/>
    <s v="145.40"/>
    <n v="75"/>
    <s v="EM NEGOCIAÇÃO"/>
    <s v="ALTERACAO DEBITO"/>
    <n v="36"/>
    <x v="31"/>
    <s v="10.57"/>
    <s v="elizabel"/>
    <s v="61 a 90"/>
    <s v="ACIONAMENTO"/>
    <x v="2"/>
  </r>
  <r>
    <s v="COGECOM"/>
    <n v="51335422"/>
    <s v="RAFAEL BONOT SENNA"/>
    <s v="OUT"/>
    <s v="OUTROS"/>
    <n v="12005438740"/>
    <x v="1"/>
    <s v="0.00"/>
    <s v="89.56"/>
    <n v="66"/>
    <m/>
    <s v="ALTERACAO DEBITO"/>
    <n v="9999"/>
    <x v="31"/>
    <s v="11.08"/>
    <s v="elizabel"/>
    <s v="61 a 90"/>
    <s v="ACIONAMENTO"/>
    <x v="4"/>
  </r>
  <r>
    <s v="COGECOM"/>
    <n v="45997367"/>
    <s v="Cristiane Rossetto"/>
    <s v="OUT"/>
    <s v="OUTROS"/>
    <n v="7791910993"/>
    <x v="1"/>
    <s v="0.00"/>
    <s v="63.44"/>
    <n v="44"/>
    <s v="EM NEGOCIAÇÃO"/>
    <s v="NEGOCIAÇÃO VIA WHATSAPP"/>
    <n v="35"/>
    <x v="31"/>
    <s v="13.12"/>
    <s v="amanda"/>
    <s v="31 a 60"/>
    <s v="CPC"/>
    <x v="2"/>
  </r>
  <r>
    <s v="COGECOM"/>
    <n v="44649444"/>
    <s v="DANIEL DA CRUZ FERREIRA"/>
    <s v="OUT"/>
    <s v="OUTROS"/>
    <n v="5781510907"/>
    <x v="1"/>
    <s v="294.86"/>
    <s v="265.78"/>
    <n v="44"/>
    <s v="EM NEGOCIAÇÃO"/>
    <s v="GERAÇÃO DE ACORDO"/>
    <n v="35"/>
    <x v="31"/>
    <s v="11.01"/>
    <s v="amanda"/>
    <s v="31 a 60"/>
    <s v="CPC"/>
    <x v="2"/>
  </r>
  <r>
    <s v="COGECOM"/>
    <n v="3092581309"/>
    <s v="DFG COMERCIO DE COMBUSTIVEIS LTDA"/>
    <s v="OUT"/>
    <s v="OUTROS"/>
    <n v="17311148000140"/>
    <x v="0"/>
    <s v="4219.91"/>
    <s v="3036.63"/>
    <n v="125"/>
    <s v="EM NEGOCIAÇÃO"/>
    <s v="NEGOCIAÇÃO VIA WHATSAPP"/>
    <n v="35"/>
    <x v="31"/>
    <s v="11.13"/>
    <s v="amanda"/>
    <s v="91 a 180"/>
    <s v="CPC"/>
    <x v="2"/>
  </r>
  <r>
    <s v="COGECOM"/>
    <n v="4003008120"/>
    <s v="LEONARDO DAVID BARCO"/>
    <s v="OUT"/>
    <s v="OUTROS"/>
    <n v="42593398850"/>
    <x v="1"/>
    <s v="0.00"/>
    <s v="59.96"/>
    <n v="48"/>
    <s v="EM NEGOCIAÇÃO"/>
    <s v="ALTERACAO DEBITO"/>
    <n v="36"/>
    <x v="31"/>
    <s v="11.05"/>
    <s v="elizabel"/>
    <s v="31 a 60"/>
    <s v="ACIONAMENTO"/>
    <x v="2"/>
  </r>
  <r>
    <s v="COGECOM"/>
    <n v="4003492373"/>
    <s v="LARISSA APARECIDA PARDIN DE MENEZES"/>
    <s v="OUT"/>
    <s v="OUTROS"/>
    <n v="43811416871"/>
    <x v="1"/>
    <s v="0.00"/>
    <s v="3788.07"/>
    <n v="48"/>
    <s v="AG RESPOSTA 1º CONTATO"/>
    <s v="ENVIADO MSG/E-MAIL 1º CONTATO"/>
    <n v="35"/>
    <x v="31"/>
    <s v="10.26"/>
    <s v="anakeppe"/>
    <s v="31 a 60"/>
    <s v="ACIONAMENTO"/>
    <x v="4"/>
  </r>
  <r>
    <s v="COGECOM"/>
    <n v="3085132489"/>
    <s v="LUCIANO FERRARI DOS SANTOS"/>
    <s v="OUT"/>
    <s v="OUTROS"/>
    <n v="81389728072"/>
    <x v="1"/>
    <s v="0.00"/>
    <s v="36.76"/>
    <n v="44"/>
    <s v="EM NEGOCIAÇÃO"/>
    <s v="ALTERACAO DEBITO"/>
    <n v="36"/>
    <x v="31"/>
    <s v="10.33"/>
    <s v="elizabel"/>
    <s v="31 a 60"/>
    <s v="ACIONAMENTO"/>
    <x v="2"/>
  </r>
  <r>
    <s v="COGECOM"/>
    <n v="77222733"/>
    <s v="Marcio Luiz Martins Parma"/>
    <s v="OUT"/>
    <s v="OUTROS"/>
    <n v="3795050960"/>
    <x v="1"/>
    <s v="201.15"/>
    <s v="180.59"/>
    <n v="44"/>
    <s v="EM NEGOCIAÇÃO"/>
    <s v="NEGOCIAÇÃO VIA WHATSAPP"/>
    <n v="35"/>
    <x v="31"/>
    <s v="10.37"/>
    <s v="anne"/>
    <s v="31 a 60"/>
    <s v="CPC"/>
    <x v="2"/>
  </r>
  <r>
    <s v="COGECOM"/>
    <n v="32020511"/>
    <s v="Dayson Ribeiro De Padua"/>
    <s v="OUT"/>
    <s v="OUTROS"/>
    <n v="43605060153"/>
    <x v="1"/>
    <s v="0.00"/>
    <s v="137.31"/>
    <n v="46"/>
    <s v="EM NEGOCIAÇÃO"/>
    <s v="ALTERACAO DEBITO"/>
    <n v="36"/>
    <x v="31"/>
    <s v="11.06"/>
    <s v="elizabel"/>
    <s v="31 a 60"/>
    <s v="ACIONAMENTO"/>
    <x v="2"/>
  </r>
  <r>
    <s v="COGECOM"/>
    <n v="10004329293"/>
    <s v="MICHEL MOTTI VIEIRA"/>
    <s v="OUT"/>
    <s v="OUTROS"/>
    <n v="376998148"/>
    <x v="1"/>
    <s v="0.00"/>
    <s v="137.47"/>
    <n v="43"/>
    <s v="EM NEGOCIAÇÃO"/>
    <s v="NEGOCIAÇÃO VIA WHATSAPP"/>
    <n v="35"/>
    <x v="31"/>
    <s v="9.20"/>
    <s v="anne"/>
    <s v="31 a 60"/>
    <s v="CPC"/>
    <x v="2"/>
  </r>
  <r>
    <s v="COGECOM"/>
    <n v="28431863"/>
    <s v="CONDOMINIO EDIFICIO RIO NEGRO"/>
    <s v="OUT"/>
    <s v="OUTROS"/>
    <n v="77806727000195"/>
    <x v="1"/>
    <s v="0.00"/>
    <s v="2496.27"/>
    <n v="52"/>
    <s v="NÃO LOCALIZADO"/>
    <s v="PESQUISA NEGATIVA"/>
    <n v="35"/>
    <x v="31"/>
    <s v="10.49"/>
    <s v="anakeppe"/>
    <s v="31 a 60"/>
    <s v="ACIONAMENTO"/>
    <x v="0"/>
  </r>
  <r>
    <s v="COGECOM"/>
    <n v="31627460"/>
    <s v="MANIAS DO SUL ALIMENTOS LTDA"/>
    <s v="OUT"/>
    <s v="OUTROS"/>
    <n v="30907425000140"/>
    <x v="1"/>
    <s v="4755.08"/>
    <s v="4755.08"/>
    <n v="76"/>
    <s v="EM NEGOCIAÇÃO"/>
    <s v="NEGOCIAÇÃO VIA WHATSAPP"/>
    <n v="35"/>
    <x v="31"/>
    <s v="10.37"/>
    <s v="amanda"/>
    <s v="61 a 90"/>
    <s v="CPC"/>
    <x v="2"/>
  </r>
  <r>
    <s v="COGECOM"/>
    <n v="43545493"/>
    <s v="COSER COMERCIO DE GENEROS ALIMENTÍCIOS LTDA"/>
    <s v="OUT"/>
    <s v="OUTROS"/>
    <n v="85211662000244"/>
    <x v="1"/>
    <s v="6976.89"/>
    <s v="6976.89"/>
    <n v="76"/>
    <s v="EM NEGOCIAÇÃO"/>
    <s v="NEGOCIAÇÃO VIA WHATSAPP"/>
    <n v="35"/>
    <x v="31"/>
    <s v="14.07"/>
    <s v="anne"/>
    <s v="61 a 90"/>
    <s v="CPC"/>
    <x v="2"/>
  </r>
  <r>
    <s v="COGECOM"/>
    <n v="45151377"/>
    <s v="EMERSON BATISTELLA"/>
    <s v="OUT"/>
    <s v="OUTROS"/>
    <n v="82724571991"/>
    <x v="1"/>
    <s v="4000.45"/>
    <s v="4000.45"/>
    <n v="44"/>
    <s v="EM NEGOCIAÇÃO"/>
    <s v="NEGOCIAÇÃO VIA WHATSAPP"/>
    <n v="35"/>
    <x v="31"/>
    <s v="10.42"/>
    <s v="amanda"/>
    <s v="31 a 60"/>
    <s v="CPC"/>
    <x v="2"/>
  </r>
  <r>
    <s v="COGECOM"/>
    <n v="83583130"/>
    <s v="CONDOMINIO RESIDENCIAL AGUIA DOURADA I"/>
    <s v="OUT"/>
    <s v="OUTROS"/>
    <n v="11072286000137"/>
    <x v="1"/>
    <s v="0.00"/>
    <s v="175.92"/>
    <n v="42"/>
    <s v="ACORDO VIGENTE COLCHÃO EM DIA"/>
    <s v="NEGOCIAÇÃO VIA TELEFONE"/>
    <n v="35"/>
    <x v="31"/>
    <s v="15.47"/>
    <s v="amanda"/>
    <s v="31 a 60"/>
    <s v="CPC"/>
    <x v="2"/>
  </r>
  <r>
    <s v="COGECOM"/>
    <n v="87107473"/>
    <s v="R2 CHOPERIA LTDA ME"/>
    <s v="OUT"/>
    <s v="OUTROS"/>
    <n v="7984947000123"/>
    <x v="1"/>
    <s v="12025.48"/>
    <s v="6157.96"/>
    <n v="118"/>
    <s v="EM NEGOCIAÇÃO"/>
    <s v="NEGOCIAÇÃO VIA WHATSAPP"/>
    <n v="35"/>
    <x v="31"/>
    <s v="9.55"/>
    <s v="amanda"/>
    <s v="91 a 180"/>
    <s v="CPC"/>
    <x v="2"/>
  </r>
  <r>
    <s v="COGECOM"/>
    <n v="630552502"/>
    <s v="G2 Supermercado Eireli"/>
    <s v="OUT"/>
    <s v="OUTROS"/>
    <n v="11113161000108"/>
    <x v="1"/>
    <s v="1411.00"/>
    <s v="1411.00"/>
    <n v="84"/>
    <s v="AG RESPOSTA 1º CONTATO"/>
    <s v="ENVIADO MSG/E-MAIL 1º CONTATO"/>
    <n v="35"/>
    <x v="31"/>
    <s v="11.41"/>
    <s v="anakeppe"/>
    <s v="61 a 90"/>
    <s v="ACIONAMENTO"/>
    <x v="4"/>
  </r>
  <r>
    <s v="COGECOM"/>
    <n v="100406670"/>
    <s v="ALEXANDRE RAFAEL VALLE"/>
    <s v="OUT"/>
    <s v="OUTROS"/>
    <n v="5687104950"/>
    <x v="1"/>
    <s v="0.00"/>
    <s v="642.31"/>
    <n v="195"/>
    <s v="EM NEGOCIAÇÃO"/>
    <s v="NEGOCIAÇÃO VIA WHATSAPP"/>
    <n v="36"/>
    <x v="32"/>
    <s v="9.19"/>
    <s v="anakeppe"/>
    <s v="181 a 360"/>
    <s v="CPC"/>
    <x v="2"/>
  </r>
  <r>
    <s v="COGECOM"/>
    <n v="62506072"/>
    <s v="Danilo Pereira Barcelos"/>
    <s v="OUT"/>
    <s v="OUTROS"/>
    <n v="87030861604"/>
    <x v="1"/>
    <s v="0.00"/>
    <s v="147.98"/>
    <n v="191"/>
    <s v="EM NEGOCIAÇÃO"/>
    <s v="NEGOCIAÇÃO VIA WHATSAPP"/>
    <n v="36"/>
    <x v="32"/>
    <s v="15.04"/>
    <s v="amanda"/>
    <s v="181 a 360"/>
    <s v="CPC"/>
    <x v="2"/>
  </r>
  <r>
    <s v="COGECOM"/>
    <n v="96833033"/>
    <s v="Ericson Makarius Borges"/>
    <s v="OUT"/>
    <s v="OUTROS"/>
    <n v="78215315100"/>
    <x v="1"/>
    <s v="0.00"/>
    <s v="617.84"/>
    <n v="207"/>
    <s v="EM NEGOCIAÇÃO"/>
    <s v="NEGOCIAÇÃO VIA WHATSAPP"/>
    <n v="36"/>
    <x v="32"/>
    <s v="11.01"/>
    <s v="amanda"/>
    <s v="181 a 360"/>
    <s v="CPC"/>
    <x v="2"/>
  </r>
  <r>
    <s v="COGECOM"/>
    <n v="63188309"/>
    <s v="Josmar Rodrigues Meirelles"/>
    <s v="OUT"/>
    <s v="OUTROS"/>
    <n v="34987800934"/>
    <x v="1"/>
    <s v="0.00"/>
    <s v="162.52"/>
    <n v="191"/>
    <s v="SEM INTERESSE"/>
    <s v="SEM INTERESSE"/>
    <n v="36"/>
    <x v="32"/>
    <s v="12.01"/>
    <s v="rafael"/>
    <s v="181 a 360"/>
    <s v="CPC"/>
    <x v="1"/>
  </r>
  <r>
    <s v="COGECOM"/>
    <n v="51563905"/>
    <s v="Makey Fernando Demarchi"/>
    <s v="OUT"/>
    <s v="OUTROS"/>
    <n v="4119077942"/>
    <x v="1"/>
    <s v="0.00"/>
    <s v="266.72"/>
    <n v="190"/>
    <s v="EM NEGOCIAÇÃO"/>
    <s v="NEGOCIAÇÃO VIA WHATSAPP"/>
    <n v="36"/>
    <x v="32"/>
    <s v="9.22"/>
    <s v="anne"/>
    <s v="181 a 360"/>
    <s v="CPC"/>
    <x v="2"/>
  </r>
  <r>
    <s v="COGECOM"/>
    <n v="3013470442"/>
    <s v="MILER AUGUSTO DE OLIVEIRA"/>
    <s v="OUT"/>
    <s v="OUTROS"/>
    <n v="11553606647"/>
    <x v="1"/>
    <s v="25.11"/>
    <s v="52.29"/>
    <n v="190"/>
    <s v="EM NEGOCIAÇÃO"/>
    <s v="NEGOCIAÇÃO VIA WHATSAPP"/>
    <n v="36"/>
    <x v="32"/>
    <s v="16.36"/>
    <s v="anne"/>
    <s v="181 a 360"/>
    <s v="CPC"/>
    <x v="2"/>
  </r>
  <r>
    <s v="COGECOM"/>
    <n v="3006730169"/>
    <s v="MARTA LOPES ALBUQUERQUE ARAUJO"/>
    <s v="OUT"/>
    <s v="OUTROS"/>
    <n v="50740210653"/>
    <x v="1"/>
    <s v="0.00"/>
    <s v="145.20"/>
    <n v="177"/>
    <s v="EM NEGOCIAÇÃO"/>
    <s v="NEGOCIAÇÃO VIA WHATSAPP"/>
    <n v="36"/>
    <x v="32"/>
    <s v="16.55"/>
    <s v="anne"/>
    <s v="91 a 180"/>
    <s v="CPC"/>
    <x v="2"/>
  </r>
  <r>
    <s v="COGECOM"/>
    <n v="13788190"/>
    <s v="LEANDRO FRANCOIS BICALHO DA CRUZ ARAUJO"/>
    <s v="OUT"/>
    <s v="OUTROS"/>
    <n v="94929823153"/>
    <x v="0"/>
    <s v="759.85"/>
    <s v="92.29"/>
    <n v="172"/>
    <s v="SEM INTERESSE"/>
    <s v="SEM INTERESSE"/>
    <n v="36"/>
    <x v="32"/>
    <s v="11.58"/>
    <s v="rafael"/>
    <s v="91 a 180"/>
    <s v="CPC"/>
    <x v="1"/>
  </r>
  <r>
    <s v="COGECOM"/>
    <n v="3006623578"/>
    <s v="CELIO GONCALVES DIAS"/>
    <s v="OUT"/>
    <s v="OUTROS"/>
    <n v="84570857787"/>
    <x v="1"/>
    <s v="0.00"/>
    <s v="23.77"/>
    <n v="137"/>
    <s v="SEM INTERESSE"/>
    <s v="SEM INTERESSE"/>
    <n v="36"/>
    <x v="32"/>
    <s v="13.40"/>
    <s v="amanda"/>
    <s v="91 a 180"/>
    <s v="CPC"/>
    <x v="1"/>
  </r>
  <r>
    <s v="COGECOM"/>
    <n v="4003261729"/>
    <s v="RICARDO DE OLIVEIRA SCHARFF"/>
    <s v="OUT"/>
    <s v="OUTROS"/>
    <n v="195298055"/>
    <x v="1"/>
    <s v="0.00"/>
    <s v="1025.57"/>
    <n v="129"/>
    <s v="EM NEGOCIAÇÃO"/>
    <s v="NEGOCIAÇÃO VIA WHATSAPP"/>
    <n v="36"/>
    <x v="32"/>
    <s v="15.57"/>
    <s v="anakeppe"/>
    <s v="91 a 180"/>
    <s v="CPC"/>
    <x v="2"/>
  </r>
  <r>
    <s v="COGECOM"/>
    <n v="4000857412"/>
    <s v="MARIA INEIS FERREIRA"/>
    <s v="OUT"/>
    <s v="OUTROS"/>
    <n v="15584873870"/>
    <x v="1"/>
    <s v="0.00"/>
    <s v="386.06"/>
    <n v="125"/>
    <s v="COBRANÇA SUSPENSA"/>
    <s v="COBRANÇA SUSPENSA"/>
    <n v="36"/>
    <x v="32"/>
    <s v="16.12"/>
    <s v="luciano"/>
    <s v="91 a 180"/>
    <s v="ACIONAMENTO"/>
    <x v="4"/>
  </r>
  <r>
    <s v="COGECOM"/>
    <n v="18074138"/>
    <s v="Joao Maria Formankevski Junior"/>
    <s v="OUT"/>
    <s v="OUTROS"/>
    <n v="2277334952"/>
    <x v="1"/>
    <s v="0.00"/>
    <s v="963.48"/>
    <n v="87"/>
    <s v="AG RESPOSTA 1º CONTATO"/>
    <s v="ENVIADO MSG/E-MAIL 1º CONTATO"/>
    <n v="36"/>
    <x v="32"/>
    <s v="16.12"/>
    <s v="anakeppe"/>
    <s v="61 a 90"/>
    <s v="ACIONAMENTO"/>
    <x v="4"/>
  </r>
  <r>
    <s v="COGECOM"/>
    <n v="42647460"/>
    <s v="AILSON SILVA DE MENEZES"/>
    <s v="OUT"/>
    <s v="OUTROS"/>
    <n v="4964015645"/>
    <x v="1"/>
    <s v="1183.70"/>
    <s v="1073.82"/>
    <n v="66"/>
    <s v="AG RESPOSTA 1º CONTATO"/>
    <s v="GERAÇÃO DE ACORDO"/>
    <n v="37"/>
    <x v="32"/>
    <s v="9.40"/>
    <s v="anakeppe"/>
    <s v="61 a 90"/>
    <s v="CPC"/>
    <x v="4"/>
  </r>
  <r>
    <s v="COGECOM"/>
    <n v="19425959"/>
    <s v="CONDOMÍNIO RESIDENCIAL FIRENZE"/>
    <s v="OUT"/>
    <s v="OUTROS"/>
    <n v="459995000153"/>
    <x v="1"/>
    <s v="514.50"/>
    <s v="230.51"/>
    <n v="71"/>
    <s v="EM NEGOCIAÇÃO"/>
    <s v="NEGOCIAÇÃO VIA WHATSAPP"/>
    <n v="36"/>
    <x v="32"/>
    <s v="9.04"/>
    <s v="roberto"/>
    <s v="61 a 90"/>
    <s v="CPC"/>
    <x v="2"/>
  </r>
  <r>
    <s v="COGECOM"/>
    <n v="53140645"/>
    <s v="EWM HOTEL LTDA"/>
    <s v="OUT"/>
    <s v="OUTROS"/>
    <n v="31344541000160"/>
    <x v="1"/>
    <s v="1221.09"/>
    <s v="1221.09"/>
    <n v="76"/>
    <s v="AG RESPOSTA 1º CONTATO"/>
    <s v="ENVIADO MSG/E-MAIL 1º CONTATO"/>
    <n v="36"/>
    <x v="32"/>
    <s v="14.44"/>
    <s v="anakeppe"/>
    <s v="61 a 90"/>
    <s v="ACIONAMENTO"/>
    <x v="4"/>
  </r>
  <r>
    <s v="COGECOM"/>
    <n v="3001903"/>
    <s v="HX LANCHONETE LTDA"/>
    <s v="OUT"/>
    <s v="OUTROS"/>
    <n v="22975443000130"/>
    <x v="1"/>
    <s v="0.00"/>
    <s v="2540.24"/>
    <n v="66"/>
    <s v="EM NEGOCIAÇÃO"/>
    <s v="NEGOCIAÇÃO VIA WHATSAPP"/>
    <n v="36"/>
    <x v="32"/>
    <s v="10.05"/>
    <s v="anakeppe"/>
    <s v="61 a 90"/>
    <s v="CPC"/>
    <x v="2"/>
  </r>
  <r>
    <s v="COGECOM"/>
    <n v="3000127391"/>
    <s v="Leticia Vitória Assis da Silva"/>
    <s v="OUT"/>
    <s v="OUTROS"/>
    <n v="42194570896"/>
    <x v="1"/>
    <s v="0.00"/>
    <s v="32.57"/>
    <n v="74"/>
    <s v="EM NEGOCIAÇÃO"/>
    <s v="NEGOCIAÇÃO VIA WHATSAPP"/>
    <n v="36"/>
    <x v="32"/>
    <s v="10.07"/>
    <s v="anne"/>
    <s v="61 a 90"/>
    <s v="CPC"/>
    <x v="2"/>
  </r>
  <r>
    <s v="COGECOM"/>
    <n v="11409750"/>
    <s v="Marcelo Costa"/>
    <s v="OUT"/>
    <s v="OUTROS"/>
    <n v="77088921987"/>
    <x v="1"/>
    <s v="0.00"/>
    <s v="287.30"/>
    <n v="66"/>
    <m/>
    <s v="ALTERACAO DEBITO"/>
    <n v="9999"/>
    <x v="32"/>
    <s v="11.40"/>
    <s v="luciano"/>
    <s v="61 a 90"/>
    <s v="ACIONAMENTO"/>
    <x v="4"/>
  </r>
  <r>
    <s v="COGECOM"/>
    <n v="84457635"/>
    <s v="PEDRO LOFH NETO"/>
    <s v="OUT"/>
    <s v="OUTROS"/>
    <n v="52416100904"/>
    <x v="1"/>
    <s v="948.74"/>
    <s v="948.74"/>
    <n v="66"/>
    <s v="AG RESPOSTA 1º CONTATO"/>
    <s v="ENVIADO MSG/E-MAIL 1º CONTATO"/>
    <n v="36"/>
    <x v="32"/>
    <s v="16.16"/>
    <s v="anakeppe"/>
    <s v="61 a 90"/>
    <s v="ACIONAMENTO"/>
    <x v="4"/>
  </r>
  <r>
    <s v="COGECOM"/>
    <n v="7625430"/>
    <s v="CAFÉ BIZZOTO"/>
    <s v="OUT"/>
    <s v="OUTROS"/>
    <n v="28871949000186"/>
    <x v="1"/>
    <s v="0.00"/>
    <s v="1062.65"/>
    <n v="62"/>
    <s v="AG RESPOSTA 1º CONTATO"/>
    <s v="ENVIADO MSG/E-MAIL 1º CONTATO"/>
    <n v="36"/>
    <x v="32"/>
    <s v="15.55"/>
    <s v="anakeppe"/>
    <s v="61 a 90"/>
    <s v="ACIONAMENTO"/>
    <x v="4"/>
  </r>
  <r>
    <s v="COGECOM"/>
    <n v="30085981"/>
    <s v="FABIO BRANCO SILVA"/>
    <s v="OUT"/>
    <s v="OUTROS"/>
    <n v="2893366945"/>
    <x v="1"/>
    <s v="1227.83"/>
    <s v="1113.94"/>
    <n v="60"/>
    <s v="AG RESPOSTA 1º CONTATO"/>
    <s v="GERAÇÃO DE ACORDO"/>
    <n v="36"/>
    <x v="32"/>
    <s v="16.24"/>
    <s v="anakeppe"/>
    <s v="31 a 60"/>
    <s v="CPC"/>
    <x v="4"/>
  </r>
  <r>
    <s v="COGECOM"/>
    <n v="30139917"/>
    <s v="ODA PERSONAL FITNESS LTDA ME"/>
    <s v="OUT"/>
    <s v="OUTROS"/>
    <n v="19332570000107"/>
    <x v="1"/>
    <s v="0.00"/>
    <s v="2307.27"/>
    <n v="62"/>
    <s v="EM NEGOCIAÇÃO"/>
    <s v="NEGOCIAÇÃO VIA WHATSAPP"/>
    <n v="36"/>
    <x v="32"/>
    <s v="16.33"/>
    <s v="roberto"/>
    <s v="61 a 90"/>
    <s v="CPC"/>
    <x v="2"/>
  </r>
  <r>
    <s v="COGECOM"/>
    <n v="9645578"/>
    <s v="IRANI GUTERRES DOS SANTOS"/>
    <s v="OUT"/>
    <s v="OUTROS"/>
    <n v="50462865053"/>
    <x v="1"/>
    <s v="0.00"/>
    <s v="194.48"/>
    <n v="45"/>
    <s v="AG RESPOSTA 1º CONTATO"/>
    <s v="ENVIADO MSG/E-MAIL 1º CONTATO"/>
    <n v="36"/>
    <x v="32"/>
    <s v="14.23"/>
    <s v="rafael"/>
    <s v="31 a 60"/>
    <s v="ACIONAMENTO"/>
    <x v="4"/>
  </r>
  <r>
    <s v="COGECOM"/>
    <n v="14579169"/>
    <s v="CESAR AUGUSTO SILVA"/>
    <s v="OUT"/>
    <s v="OUTROS"/>
    <n v="75207087134"/>
    <x v="1"/>
    <s v="0.00"/>
    <s v="977.46"/>
    <n v="50"/>
    <s v="AG RESPOSTA 1º CONTATO"/>
    <s v="ENVIADO MSG/E-MAIL 1º CONTATO"/>
    <n v="36"/>
    <x v="32"/>
    <s v="16.07"/>
    <s v="anakeppe"/>
    <s v="31 a 60"/>
    <s v="ACIONAMENTO"/>
    <x v="4"/>
  </r>
  <r>
    <s v="COGECOM"/>
    <n v="56252452"/>
    <s v="DENISE FORTE"/>
    <s v="OUT"/>
    <s v="OUTROS"/>
    <n v="85427772120"/>
    <x v="1"/>
    <s v="0.00"/>
    <s v="119.30"/>
    <n v="44"/>
    <s v="EM NEGOCIAÇÃO"/>
    <s v="NEGOCIAÇÃO VIA WHATSAPP"/>
    <n v="36"/>
    <x v="32"/>
    <s v="11.17"/>
    <s v="amanda"/>
    <s v="31 a 60"/>
    <s v="CPC"/>
    <x v="2"/>
  </r>
  <r>
    <s v="COGECOM"/>
    <n v="93632975"/>
    <s v="DENINSON TELISESKI DA SILVA"/>
    <s v="OUT"/>
    <s v="OUTROS"/>
    <n v="6599626912"/>
    <x v="1"/>
    <s v="0.00"/>
    <s v="555.40"/>
    <n v="45"/>
    <s v="EM NEGOCIAÇÃO"/>
    <s v="NEGOCIAÇÃO VIA WHATSAPP"/>
    <n v="36"/>
    <x v="32"/>
    <s v="11.38"/>
    <s v="amanda"/>
    <s v="31 a 60"/>
    <s v="CPC"/>
    <x v="2"/>
  </r>
  <r>
    <s v="COGECOM"/>
    <n v="11975720"/>
    <s v="DOMINANDA APARECIDA DOS SANTOS"/>
    <s v="OUT"/>
    <s v="OUTROS"/>
    <n v="359632980"/>
    <x v="1"/>
    <s v="216.82"/>
    <s v="216.82"/>
    <n v="45"/>
    <s v="EM NEGOCIAÇÃO"/>
    <s v="NEGOCIAÇÃO VIA WHATSAPP"/>
    <n v="36"/>
    <x v="32"/>
    <s v="10.05"/>
    <s v="amanda"/>
    <s v="31 a 60"/>
    <s v="CPC"/>
    <x v="2"/>
  </r>
  <r>
    <s v="COGECOM"/>
    <n v="15030570"/>
    <s v="DORAYNA PEREIRA ALVES"/>
    <s v="OUT"/>
    <s v="OUTROS"/>
    <n v="2825549126"/>
    <x v="1"/>
    <s v="0.00"/>
    <s v="94.51"/>
    <n v="46"/>
    <s v="EM NEGOCIAÇÃO"/>
    <s v="NEGOCIAÇÃO VIA WHATSAPP"/>
    <n v="36"/>
    <x v="32"/>
    <s v="9.57"/>
    <s v="amanda"/>
    <s v="31 a 60"/>
    <s v="CPC"/>
    <x v="2"/>
  </r>
  <r>
    <s v="COGECOM"/>
    <n v="86559990"/>
    <s v="Douglas de Carvalho Arantes"/>
    <s v="OUT"/>
    <s v="OUTROS"/>
    <n v="4519747945"/>
    <x v="1"/>
    <s v="0.00"/>
    <s v="160.02"/>
    <n v="44"/>
    <s v="EM NEGOCIAÇÃO"/>
    <s v="NEGOCIAÇÃO VIA WHATSAPP"/>
    <n v="36"/>
    <x v="32"/>
    <s v="9.39"/>
    <s v="amanda"/>
    <s v="31 a 60"/>
    <s v="CPC"/>
    <x v="2"/>
  </r>
  <r>
    <s v="COGECOM"/>
    <n v="4002911731"/>
    <s v="DEBORA RIBEIRO HONORIO RAMOS"/>
    <s v="OUT"/>
    <s v="OUTROS"/>
    <n v="8127388610"/>
    <x v="1"/>
    <s v="0.00"/>
    <s v="207.70"/>
    <n v="47"/>
    <s v="EM NEGOCIAÇÃO"/>
    <s v="NEGOCIAÇÃO VIA WHATSAPP"/>
    <n v="36"/>
    <x v="32"/>
    <s v="12.58"/>
    <s v="amanda"/>
    <s v="31 a 60"/>
    <s v="CPC"/>
    <x v="2"/>
  </r>
  <r>
    <s v="COGECOM"/>
    <n v="30199484"/>
    <s v="MICHEL ZACHYTKO CAVALCANTE"/>
    <s v="OUT"/>
    <s v="OUTROS"/>
    <n v="5568117985"/>
    <x v="1"/>
    <s v="0.00"/>
    <s v="894.12"/>
    <n v="44"/>
    <s v="EM NEGOCIAÇÃO"/>
    <s v="NEGOCIAÇÃO VIA WHATSAPP"/>
    <n v="36"/>
    <x v="32"/>
    <s v="16.28"/>
    <s v="anne"/>
    <s v="31 a 60"/>
    <s v="CPC"/>
    <x v="2"/>
  </r>
  <r>
    <s v="COGECOM"/>
    <n v="30048911"/>
    <s v="Indianara Christina Medeiros Tomaz"/>
    <s v="OUT"/>
    <s v="OUTROS"/>
    <n v="6764365954"/>
    <x v="1"/>
    <s v="0.00"/>
    <s v="313.22"/>
    <n v="43"/>
    <m/>
    <s v="ALTERACAO DEBITO"/>
    <n v="9999"/>
    <x v="32"/>
    <s v="11.35"/>
    <s v="luciano"/>
    <s v="31 a 60"/>
    <s v="ACIONAMENTO"/>
    <x v="4"/>
  </r>
  <r>
    <s v="COGECOM"/>
    <n v="3673103"/>
    <s v="MARIA INES"/>
    <s v="OUT"/>
    <s v="OUTROS"/>
    <n v="71905987668"/>
    <x v="1"/>
    <s v="0.00"/>
    <s v="274.74"/>
    <n v="79"/>
    <s v="EM NEGOCIAÇÃO"/>
    <s v="NEGOCIAÇÃO VIA WHATSAPP"/>
    <n v="36"/>
    <x v="32"/>
    <s v="13.39"/>
    <s v="anne"/>
    <s v="61 a 90"/>
    <s v="CPC"/>
    <x v="2"/>
  </r>
  <r>
    <s v="COGECOM"/>
    <n v="4001482517"/>
    <s v="DEBORA MARIA SILVA DOS SANTOS"/>
    <s v="OUT"/>
    <s v="OUTROS"/>
    <n v="37092661811"/>
    <x v="1"/>
    <s v="0.00"/>
    <s v="190.55"/>
    <n v="79"/>
    <s v="EM NEGOCIAÇÃO"/>
    <s v="NEGOCIAÇÃO VIA WHATSAPP"/>
    <n v="36"/>
    <x v="32"/>
    <s v="13.10"/>
    <s v="amanda"/>
    <s v="61 a 90"/>
    <s v="CPC"/>
    <x v="2"/>
  </r>
  <r>
    <s v="COGECOM"/>
    <n v="4000568519"/>
    <s v="JHONATA SALES DE OLIVEIRA"/>
    <s v="OUT"/>
    <s v="OUTROS"/>
    <n v="39526590880"/>
    <x v="1"/>
    <s v="218.64"/>
    <s v="196.49"/>
    <n v="47"/>
    <s v="AG RESPOSTA 1º CONTATO"/>
    <s v="GERAÇÃO DE ACORDO"/>
    <n v="36"/>
    <x v="32"/>
    <s v="14.11"/>
    <s v="rafael"/>
    <s v="31 a 60"/>
    <s v="CPC"/>
    <x v="4"/>
  </r>
  <r>
    <s v="COGECOM"/>
    <n v="105335231"/>
    <s v="JULIANO PIASSA"/>
    <s v="OUT"/>
    <s v="OUTROS"/>
    <n v="62024493220"/>
    <x v="1"/>
    <s v="289.92"/>
    <s v="261.29"/>
    <n v="44"/>
    <m/>
    <s v="GERAÇÃO DE ACORDO"/>
    <n v="9999"/>
    <x v="32"/>
    <s v="16.25"/>
    <s v="rafael"/>
    <s v="31 a 60"/>
    <s v="CPC"/>
    <x v="4"/>
  </r>
  <r>
    <s v="COGECOM"/>
    <n v="54537905"/>
    <s v="Maicom Franca Gabriel"/>
    <s v="OUT"/>
    <s v="OUTROS"/>
    <n v="3647759988"/>
    <x v="1"/>
    <s v="0.00"/>
    <s v="306.61"/>
    <n v="44"/>
    <s v="EM NEGOCIAÇÃO"/>
    <s v="NEGOCIAÇÃO VIA WHATSAPP"/>
    <n v="36"/>
    <x v="32"/>
    <s v="11.24"/>
    <s v="anne"/>
    <s v="31 a 60"/>
    <s v="CPC"/>
    <x v="2"/>
  </r>
  <r>
    <s v="COGECOM"/>
    <n v="41975383"/>
    <s v="LUIS FERNANDO MANIN"/>
    <s v="OUT"/>
    <s v="OUTROS"/>
    <n v="22063738823"/>
    <x v="1"/>
    <s v="417.64"/>
    <s v="377.40"/>
    <n v="79"/>
    <s v="EM NEGOCIAÇÃO"/>
    <s v="NEGOCIAÇÃO VIA WHATSAPP"/>
    <n v="36"/>
    <x v="32"/>
    <s v="10.25"/>
    <s v="anne"/>
    <s v="61 a 90"/>
    <s v="CPC"/>
    <x v="2"/>
  </r>
  <r>
    <s v="COGECOM"/>
    <n v="94596697"/>
    <s v="Marcelo Yukimassa Ikegami"/>
    <s v="OUT"/>
    <s v="OUTROS"/>
    <n v="52381960"/>
    <x v="1"/>
    <s v="0.00"/>
    <s v="187.31"/>
    <n v="44"/>
    <s v="EM NEGOCIAÇÃO"/>
    <s v="NEGOCIAÇÃO VIA WHATSAPP"/>
    <n v="36"/>
    <x v="32"/>
    <s v="9.06"/>
    <s v="anne"/>
    <s v="31 a 60"/>
    <s v="CPC"/>
    <x v="2"/>
  </r>
  <r>
    <s v="COGECOM"/>
    <n v="12224947"/>
    <s v="DIONICE NORMANDES SATELIS"/>
    <s v="OUT"/>
    <s v="OUTROS"/>
    <n v="2068249120"/>
    <x v="1"/>
    <s v="193.64"/>
    <s v="193.64"/>
    <n v="44"/>
    <s v="EM NEGOCIAÇÃO"/>
    <s v="NEGOCIAÇÃO VIA WHATSAPP"/>
    <n v="36"/>
    <x v="32"/>
    <s v="10.44"/>
    <s v="amanda"/>
    <s v="31 a 60"/>
    <s v="CPC"/>
    <x v="2"/>
  </r>
  <r>
    <s v="COGECOM"/>
    <n v="3000854406"/>
    <s v="MARIA APARECIDA PINTO"/>
    <s v="OUT"/>
    <s v="OUTROS"/>
    <n v="14461631800"/>
    <x v="1"/>
    <s v="0.00"/>
    <s v="120.79"/>
    <n v="48"/>
    <s v="EM NEGOCIAÇÃO"/>
    <s v="NEGOCIAÇÃO VIA WHATSAPP"/>
    <n v="36"/>
    <x v="32"/>
    <s v="13.13"/>
    <s v="anne"/>
    <s v="31 a 60"/>
    <s v="CPC"/>
    <x v="2"/>
  </r>
  <r>
    <s v="COGECOM"/>
    <n v="3082111075"/>
    <s v="Maria Borowski Schoenhalz"/>
    <s v="OUT"/>
    <s v="OUTROS"/>
    <n v="33279152020"/>
    <x v="1"/>
    <s v="0.00"/>
    <s v="138.37"/>
    <n v="48"/>
    <s v="EM NEGOCIAÇÃO"/>
    <s v="NEGOCIAÇÃO VIA WHATSAPP"/>
    <n v="36"/>
    <x v="32"/>
    <s v="13.06"/>
    <s v="anne"/>
    <s v="31 a 60"/>
    <s v="CPC"/>
    <x v="2"/>
  </r>
  <r>
    <s v="COGECOM"/>
    <n v="49675631"/>
    <s v="MAX MAGNO VIEIRA"/>
    <s v="OUT"/>
    <s v="OUTROS"/>
    <n v="88877159987"/>
    <x v="1"/>
    <s v="0.00"/>
    <s v="166.34"/>
    <n v="43"/>
    <s v="EM NEGOCIAÇÃO"/>
    <s v="ALTERACAO DEBITO"/>
    <n v="36"/>
    <x v="32"/>
    <s v="16.31"/>
    <s v="luciano"/>
    <s v="31 a 60"/>
    <s v="ACIONAMENTO"/>
    <x v="2"/>
  </r>
  <r>
    <s v="COGECOM"/>
    <n v="10276579"/>
    <s v="Divina Maria Fernandes"/>
    <s v="OUT"/>
    <s v="OUTROS"/>
    <n v="31035361191"/>
    <x v="1"/>
    <s v="0.00"/>
    <s v="186.36"/>
    <n v="83"/>
    <s v="EM NEGOCIAÇÃO"/>
    <s v="NEGOCIAÇÃO VIA WHATSAPP"/>
    <n v="36"/>
    <x v="32"/>
    <s v="10.32"/>
    <s v="amanda"/>
    <s v="61 a 90"/>
    <s v="CPC"/>
    <x v="2"/>
  </r>
  <r>
    <s v="COGECOM"/>
    <n v="89683641"/>
    <s v="Michael Pinheiro da Silva"/>
    <s v="OUT"/>
    <s v="OUTROS"/>
    <n v="3278679903"/>
    <x v="1"/>
    <s v="237.10"/>
    <s v="237.10"/>
    <n v="46"/>
    <s v="EM NEGOCIAÇÃO"/>
    <s v="NEGOCIAÇÃO VIA WHATSAPP"/>
    <n v="36"/>
    <x v="32"/>
    <s v="16.14"/>
    <s v="anne"/>
    <s v="31 a 60"/>
    <s v="CPC"/>
    <x v="2"/>
  </r>
  <r>
    <s v="COGECOM"/>
    <n v="10005358874"/>
    <s v="Miriam Cordeiro Cardoso Inacio"/>
    <s v="OUT"/>
    <s v="OUTROS"/>
    <n v="86642111168"/>
    <x v="1"/>
    <s v="0.00"/>
    <s v="99.79"/>
    <n v="47"/>
    <s v="EM NEGOCIAÇÃO"/>
    <s v="NEGOCIAÇÃO VIA WHATSAPP"/>
    <n v="36"/>
    <x v="32"/>
    <s v="16.38"/>
    <s v="anne"/>
    <s v="31 a 60"/>
    <s v="CPC"/>
    <x v="2"/>
  </r>
  <r>
    <s v="COGECOM"/>
    <n v="48170900"/>
    <s v="MATEUS DA SILVA MOTTA"/>
    <s v="OUT"/>
    <s v="OUTROS"/>
    <n v="3414125978"/>
    <x v="1"/>
    <s v="0.00"/>
    <s v="173.99"/>
    <n v="43"/>
    <s v="EM NEGOCIAÇÃO"/>
    <s v="NEGOCIAÇÃO VIA WHATSAPP"/>
    <n v="36"/>
    <x v="32"/>
    <s v="14.47"/>
    <s v="anne"/>
    <s v="31 a 60"/>
    <s v="CPC"/>
    <x v="2"/>
  </r>
  <r>
    <s v="COGECOM"/>
    <n v="86723510"/>
    <s v="Marcio Jenoval da Silva"/>
    <s v="OUT"/>
    <s v="OUTROS"/>
    <n v="2924411939"/>
    <x v="1"/>
    <s v="259.21"/>
    <s v="233.37"/>
    <n v="44"/>
    <s v="EM NEGOCIAÇÃO"/>
    <s v="NEGOCIAÇÃO VIA WHATSAPP"/>
    <n v="36"/>
    <x v="32"/>
    <s v="13.46"/>
    <s v="anne"/>
    <s v="31 a 60"/>
    <s v="CPC"/>
    <x v="2"/>
  </r>
  <r>
    <s v="COGECOM"/>
    <n v="103166831"/>
    <s v="MARIA IZABEL GALINO RAMALHO"/>
    <s v="OUT"/>
    <s v="OUTROS"/>
    <n v="4592001869"/>
    <x v="1"/>
    <s v="0.00"/>
    <s v="144.42"/>
    <n v="47"/>
    <s v="EM NEGOCIAÇÃO"/>
    <s v="NEGOCIAÇÃO VIA WHATSAPP"/>
    <n v="36"/>
    <x v="32"/>
    <s v="13.27"/>
    <s v="anne"/>
    <s v="31 a 60"/>
    <s v="CPC"/>
    <x v="2"/>
  </r>
  <r>
    <s v="COGECOM"/>
    <n v="7919654"/>
    <s v="Denise Cristina Otto"/>
    <s v="OUT"/>
    <s v="OUTROS"/>
    <n v="525589910"/>
    <x v="1"/>
    <s v="0.00"/>
    <s v="358.37"/>
    <n v="48"/>
    <s v="EM NEGOCIAÇÃO"/>
    <s v="NEGOCIAÇÃO VIA WHATSAPP"/>
    <n v="36"/>
    <x v="32"/>
    <s v="11.26"/>
    <s v="amanda"/>
    <s v="31 a 60"/>
    <s v="CPC"/>
    <x v="2"/>
  </r>
  <r>
    <s v="COGECOM"/>
    <n v="104892641"/>
    <s v="MARCOS ADILSON PADOVINO"/>
    <s v="OUT"/>
    <s v="OUTROS"/>
    <n v="1999391950"/>
    <x v="1"/>
    <s v="0.00"/>
    <s v="180.72"/>
    <n v="44"/>
    <s v="EM NEGOCIAÇÃO"/>
    <s v="NEGOCIAÇÃO VIA WHATSAPP"/>
    <n v="36"/>
    <x v="32"/>
    <s v="11.27"/>
    <s v="anne"/>
    <s v="31 a 60"/>
    <s v="CPC"/>
    <x v="2"/>
  </r>
  <r>
    <s v="COGECOM"/>
    <n v="67558224"/>
    <s v="PILLE DARK COMERCIO DE GAMES LTDA"/>
    <s v="OUT"/>
    <s v="OUTROS"/>
    <n v="8283423000178"/>
    <x v="1"/>
    <s v="0.00"/>
    <s v="1540.95"/>
    <n v="57"/>
    <s v="EM NEGOCIAÇÃO"/>
    <s v="NEGOCIAÇÃO VIA WHATSAPP"/>
    <n v="36"/>
    <x v="32"/>
    <s v="11.12"/>
    <s v="roberto"/>
    <s v="31 a 60"/>
    <s v="CPC"/>
    <x v="2"/>
  </r>
  <r>
    <s v="COGECOM"/>
    <n v="15205903"/>
    <s v="MARIA ANGELA RAMOS DOURADO"/>
    <s v="OUT"/>
    <s v="OUTROS"/>
    <n v="24538990582"/>
    <x v="1"/>
    <s v="0.00"/>
    <s v="327.14"/>
    <n v="47"/>
    <s v="EM NEGOCIAÇÃO"/>
    <s v="NEGOCIAÇÃO VIA WHATSAPP"/>
    <n v="36"/>
    <x v="32"/>
    <s v="10.59"/>
    <s v="anne"/>
    <s v="31 a 60"/>
    <s v="CPC"/>
    <x v="2"/>
  </r>
  <r>
    <s v="COGECOM"/>
    <n v="50784560"/>
    <s v="MARIVALDO CAIRES VIANA"/>
    <s v="OUT"/>
    <s v="OUTROS"/>
    <n v="3190543909"/>
    <x v="1"/>
    <s v="0.00"/>
    <s v="263.71"/>
    <n v="44"/>
    <s v="EM NEGOCIAÇÃO"/>
    <s v="NEGOCIAÇÃO VIA WHATSAPP"/>
    <n v="36"/>
    <x v="32"/>
    <s v="14.15"/>
    <s v="anne"/>
    <s v="31 a 60"/>
    <s v="CPC"/>
    <x v="2"/>
  </r>
  <r>
    <s v="COGECOM"/>
    <n v="50098460"/>
    <s v="Herbert Alex Schlogl"/>
    <s v="OUT"/>
    <s v="OUTROS"/>
    <n v="5383871900"/>
    <x v="1"/>
    <s v="0.00"/>
    <s v="1754.02"/>
    <n v="76"/>
    <s v="COBRANÇA SUSPENSA"/>
    <s v="COBRANÇA SUSPENSA"/>
    <n v="36"/>
    <x v="32"/>
    <s v="16.11"/>
    <s v="luciano"/>
    <s v="61 a 90"/>
    <s v="ACIONAMENTO"/>
    <x v="4"/>
  </r>
  <r>
    <s v="COGECOM"/>
    <n v="3014396285"/>
    <s v="Iraci Ferreira de Lima Barros"/>
    <s v="OUT"/>
    <s v="OUTROS"/>
    <n v="3824851490"/>
    <x v="1"/>
    <s v="0.00"/>
    <s v="228.17"/>
    <n v="448"/>
    <s v="EM NEGOCIAÇÃO"/>
    <s v="BAIXA ACORDO/CHEQUE-PRE"/>
    <n v="56"/>
    <x v="32"/>
    <s v="11.44"/>
    <s v="luciano"/>
    <s v="Acima de 361"/>
    <s v="CPC"/>
    <x v="2"/>
  </r>
  <r>
    <s v="COGECOM"/>
    <n v="14579194"/>
    <s v="CESAR AUGUSTO SILVA"/>
    <s v="OUT"/>
    <s v="OUTROS"/>
    <n v="75207087134"/>
    <x v="1"/>
    <s v="0.00"/>
    <s v="588.20"/>
    <n v="57"/>
    <s v="EM NEGOCIAÇÃO"/>
    <s v="NEGOCIAÇÃO VIA WHATSAPP"/>
    <n v="43"/>
    <x v="32"/>
    <s v="9.02"/>
    <s v="anakeppe"/>
    <s v="31 a 60"/>
    <s v="CPC"/>
    <x v="2"/>
  </r>
  <r>
    <s v="COGECOM"/>
    <n v="3010414904"/>
    <s v="Cleuza Aparecida de Assis"/>
    <s v="OUT"/>
    <s v="OUTROS"/>
    <n v="84725320625"/>
    <x v="1"/>
    <s v="0.00"/>
    <s v="114.67"/>
    <n v="162"/>
    <s v="EM NEGOCIAÇÃO"/>
    <s v="NEGOCIAÇÃO VIA WHATSAPP"/>
    <n v="37"/>
    <x v="33"/>
    <s v="11.39"/>
    <s v="amanda"/>
    <s v="91 a 180"/>
    <s v="CPC"/>
    <x v="2"/>
  </r>
  <r>
    <s v="COGECOM"/>
    <n v="20459804"/>
    <s v="CONCEIÇÃO ROSA PINTO"/>
    <s v="OUT"/>
    <s v="OUTROS"/>
    <n v="26934590104"/>
    <x v="1"/>
    <s v="0.00"/>
    <s v="119.64"/>
    <n v="194"/>
    <s v="EM NEGOCIAÇÃO"/>
    <s v="NEGOCIAÇÃO VIA WHATSAPP"/>
    <n v="37"/>
    <x v="33"/>
    <s v="12.57"/>
    <s v="amanda"/>
    <s v="181 a 360"/>
    <s v="CPC"/>
    <x v="2"/>
  </r>
  <r>
    <s v="COGECOM"/>
    <n v="3010506613"/>
    <s v="CUSTODIO GONCALVES VIANA"/>
    <s v="OUT"/>
    <s v="OUTROS"/>
    <n v="86077120634"/>
    <x v="1"/>
    <s v="0.00"/>
    <s v="115.78"/>
    <n v="245"/>
    <s v="AG RESPOSTA 1º CONTATO"/>
    <s v="ALTERACAO DEBITO"/>
    <n v="40"/>
    <x v="33"/>
    <s v="12.15"/>
    <s v="elizabel"/>
    <s v="181 a 360"/>
    <s v="ACIONAMENTO"/>
    <x v="4"/>
  </r>
  <r>
    <s v="COGECOM"/>
    <n v="70077472"/>
    <s v="DEVANDIR FRANCISCO DE OLIVEIRA"/>
    <s v="OUT"/>
    <s v="OUTROS"/>
    <n v="23434163115"/>
    <x v="1"/>
    <s v="0.00"/>
    <s v="200.29"/>
    <n v="203"/>
    <s v="EM NEGOCIAÇÃO"/>
    <s v="ALTERACAO DEBITO"/>
    <n v="41"/>
    <x v="33"/>
    <s v="12.10"/>
    <s v="elizabel"/>
    <s v="181 a 360"/>
    <s v="ACIONAMENTO"/>
    <x v="2"/>
  </r>
  <r>
    <s v="COGECOM"/>
    <n v="3095399780"/>
    <s v="Luis Eduardo Burzlaff"/>
    <s v="OUT"/>
    <s v="OUTROS"/>
    <n v="47322322053"/>
    <x v="1"/>
    <s v="125.09"/>
    <s v="138.11"/>
    <n v="192"/>
    <s v="EM NEGOCIAÇÃO"/>
    <s v="NEGOCIAÇÃO VIA WHATSAPP"/>
    <n v="37"/>
    <x v="33"/>
    <s v="11.15"/>
    <s v="anne"/>
    <s v="181 a 360"/>
    <s v="CPC"/>
    <x v="2"/>
  </r>
  <r>
    <s v="COGECOM"/>
    <n v="3001466139"/>
    <s v="MAGGIE MARQUES DA SILVA"/>
    <s v="OUT"/>
    <s v="OUTROS"/>
    <n v="80593194691"/>
    <x v="1"/>
    <s v="0.00"/>
    <s v="130.27"/>
    <n v="190"/>
    <s v="EM NEGOCIAÇÃO"/>
    <s v="NEGOCIAÇÃO VIA WHATSAPP"/>
    <n v="37"/>
    <x v="33"/>
    <s v="14.03"/>
    <s v="anne"/>
    <s v="181 a 360"/>
    <s v="CPC"/>
    <x v="2"/>
  </r>
  <r>
    <s v="COGECOM"/>
    <n v="3095314777"/>
    <s v="Marcellus Schneider"/>
    <s v="OUT"/>
    <s v="OUTROS"/>
    <n v="82346461091"/>
    <x v="1"/>
    <s v="0.00"/>
    <s v="212.13"/>
    <n v="190"/>
    <s v="EM NEGOCIAÇÃO"/>
    <s v="NEGOCIAÇÃO VIA WHATSAPP"/>
    <n v="37"/>
    <x v="33"/>
    <s v="16.28"/>
    <s v="anne"/>
    <s v="181 a 360"/>
    <s v="CPC"/>
    <x v="2"/>
  </r>
  <r>
    <s v="COGECOM"/>
    <n v="3080143612"/>
    <s v="MATUSALÉM LAZZARI LIMA"/>
    <s v="OUT"/>
    <s v="OUTROS"/>
    <n v="81797427091"/>
    <x v="0"/>
    <s v="525.35"/>
    <s v="103.86"/>
    <n v="594"/>
    <s v="EM NEGOCIAÇÃO"/>
    <s v="NEGOCIAÇÃO VIA WHATSAPP"/>
    <n v="37"/>
    <x v="33"/>
    <s v="9.57"/>
    <s v="roberto"/>
    <s v="Acima de 361"/>
    <s v="CPC"/>
    <x v="2"/>
  </r>
  <r>
    <s v="COGECOM"/>
    <n v="3013993564"/>
    <s v="MARCELLA GONCALVES COELHO"/>
    <s v="OUT"/>
    <s v="OUTROS"/>
    <n v="9032719661"/>
    <x v="1"/>
    <s v="0.00"/>
    <s v="224.58"/>
    <n v="190"/>
    <s v="EM NEGOCIAÇÃO"/>
    <s v="NEGOCIAÇÃO VIA WHATSAPP"/>
    <n v="37"/>
    <x v="33"/>
    <s v="16.17"/>
    <s v="anne"/>
    <s v="181 a 360"/>
    <s v="CPC"/>
    <x v="2"/>
  </r>
  <r>
    <s v="COGECOM"/>
    <n v="52470137"/>
    <s v="DIANDRA LIMAS DO CARMO TEIXEIRA"/>
    <s v="OUT"/>
    <s v="OUTROS"/>
    <n v="2520523905"/>
    <x v="1"/>
    <s v="0.00"/>
    <s v="115.73"/>
    <n v="181"/>
    <s v="EM NEGOCIAÇÃO"/>
    <s v="ALTERACAO DEBITO"/>
    <n v="40"/>
    <x v="33"/>
    <s v="12.14"/>
    <s v="elizabel"/>
    <s v="181 a 360"/>
    <s v="ACIONAMENTO"/>
    <x v="2"/>
  </r>
  <r>
    <s v="COGECOM"/>
    <n v="1940006603"/>
    <s v="VALTEMIR DA ROCHA CORTE"/>
    <s v="OUT"/>
    <s v="OUTROS"/>
    <n v="23272988149"/>
    <x v="1"/>
    <s v="0.00"/>
    <s v="113.70"/>
    <n v="158"/>
    <s v="AG RESPOSTA 1º CONTATO"/>
    <s v="ALTERACAO DEBITO"/>
    <n v="40"/>
    <x v="33"/>
    <s v="12.13"/>
    <s v="elizabel"/>
    <s v="91 a 180"/>
    <s v="ACIONAMENTO"/>
    <x v="4"/>
  </r>
  <r>
    <s v="COGECOM"/>
    <n v="13696889"/>
    <s v="ROSANGELA DIVINA DOS SANTOS"/>
    <s v="OUT"/>
    <s v="OUTROS"/>
    <n v="56125593649"/>
    <x v="1"/>
    <s v="0.00"/>
    <s v="46.15"/>
    <n v="172"/>
    <s v="AG RESPOSTA 1º CONTATO"/>
    <s v="ENVIADO MSG/E-MAIL 1º CONTATO"/>
    <n v="37"/>
    <x v="33"/>
    <s v="9.26"/>
    <s v="anakeppe"/>
    <s v="91 a 180"/>
    <s v="ACIONAMENTO"/>
    <x v="4"/>
  </r>
  <r>
    <s v="COGECOM"/>
    <n v="91774217"/>
    <s v="EDUARDO GAIOVICZ"/>
    <s v="OUT"/>
    <s v="OUTROS"/>
    <n v="3457360952"/>
    <x v="1"/>
    <s v="1021.12"/>
    <s v="1021.12"/>
    <n v="177"/>
    <s v="AG RESPOSTA 1º CONTATO"/>
    <s v="ENVIADO MSG/E-MAIL 1º CONTATO"/>
    <n v="37"/>
    <x v="33"/>
    <s v="16.05"/>
    <s v="anakeppe"/>
    <s v="91 a 180"/>
    <s v="ACIONAMENTO"/>
    <x v="4"/>
  </r>
  <r>
    <s v="COGECOM"/>
    <n v="81899246"/>
    <s v="FOLKS CASCAVEL LTDA"/>
    <s v="OUT"/>
    <s v="OUTROS"/>
    <n v="47614944000112"/>
    <x v="1"/>
    <s v="0.00"/>
    <s v="2350.37"/>
    <n v="125"/>
    <s v="AG RESPOSTA 1º CONTATO"/>
    <s v="ENVIADO MSG/E-MAIL 1º CONTATO"/>
    <n v="37"/>
    <x v="33"/>
    <s v="10.54"/>
    <s v="anakeppe"/>
    <s v="91 a 180"/>
    <s v="ACIONAMENTO"/>
    <x v="4"/>
  </r>
  <r>
    <s v="COGECOM"/>
    <n v="28532172"/>
    <s v="ALTALUC MONTADORA LTDA ME"/>
    <s v="OUT"/>
    <s v="OUTROS"/>
    <n v="6073616000179"/>
    <x v="1"/>
    <s v="0.00"/>
    <s v="2490.87"/>
    <n v="76"/>
    <s v="AG RESPOSTA 1º CONTATO"/>
    <s v="ENVIADO MSG/E-MAIL 1º CONTATO"/>
    <n v="37"/>
    <x v="33"/>
    <s v="10.51"/>
    <s v="anakeppe"/>
    <s v="61 a 90"/>
    <s v="ACIONAMENTO"/>
    <x v="4"/>
  </r>
  <r>
    <s v="COGECOM"/>
    <n v="28673485"/>
    <s v="CLODOALDO RICARDO PEDRO"/>
    <s v="OUT"/>
    <s v="OUTROS"/>
    <n v="1834589908"/>
    <x v="1"/>
    <s v="0.00"/>
    <s v="189.72"/>
    <n v="66"/>
    <s v="EM NEGOCIAÇÃO"/>
    <s v="NEGOCIAÇÃO VIA WHATSAPP"/>
    <n v="37"/>
    <x v="33"/>
    <s v="11.52"/>
    <s v="amanda"/>
    <s v="61 a 90"/>
    <s v="CPC"/>
    <x v="2"/>
  </r>
  <r>
    <s v="COGECOM"/>
    <n v="18500027"/>
    <s v="CONDOMINIO EDIFICIO ALICE E GUSTAVO"/>
    <s v="OUT"/>
    <s v="OUTROS"/>
    <n v="4455483000170"/>
    <x v="1"/>
    <s v="0.00"/>
    <s v="693.77"/>
    <n v="66"/>
    <s v="EM NEGOCIAÇÃO"/>
    <s v="ALTERACAO DEBITO"/>
    <n v="40"/>
    <x v="33"/>
    <s v="12.24"/>
    <s v="luciano"/>
    <s v="61 a 90"/>
    <s v="ACIONAMENTO"/>
    <x v="2"/>
  </r>
  <r>
    <s v="COGECOM"/>
    <n v="45116735"/>
    <s v="DOLORES DIAS GARCIA"/>
    <s v="OUT"/>
    <s v="OUTROS"/>
    <n v="62087568987"/>
    <x v="1"/>
    <s v="0.00"/>
    <s v="70.04"/>
    <n v="71"/>
    <m/>
    <s v="ALTERACAO DEBITO"/>
    <n v="9999"/>
    <x v="33"/>
    <s v="12.15"/>
    <s v="elizabel"/>
    <s v="61 a 90"/>
    <s v="ACIONAMENTO"/>
    <x v="4"/>
  </r>
  <r>
    <s v="COGECOM"/>
    <n v="49274793"/>
    <s v="SANTA MONICA BARBEARIA VIP LTDA ME"/>
    <s v="OUT"/>
    <s v="OUTROS"/>
    <n v="24500678000100"/>
    <x v="1"/>
    <s v="4804.79"/>
    <s v="3058.34"/>
    <n v="76"/>
    <s v="EM NEGOCIAÇÃO"/>
    <s v="NEGOCIAÇÃO VIA WHATSAPP"/>
    <n v="37"/>
    <x v="33"/>
    <s v="15.24"/>
    <s v="amanda"/>
    <s v="61 a 90"/>
    <s v="CPC"/>
    <x v="2"/>
  </r>
  <r>
    <s v="COGECOM"/>
    <n v="79481078"/>
    <s v="Edson de Oliveira Ferreira"/>
    <s v="OUT"/>
    <s v="OUTROS"/>
    <n v="43981453972"/>
    <x v="1"/>
    <s v="0.00"/>
    <s v="1924.31"/>
    <n v="61"/>
    <s v="EM NEGOCIAÇÃO"/>
    <s v="NEGOCIAÇÃO VIA WHATSAPP"/>
    <n v="37"/>
    <x v="33"/>
    <s v="11.49"/>
    <s v="anakeppe"/>
    <s v="61 a 90"/>
    <s v="CPC"/>
    <x v="2"/>
  </r>
  <r>
    <s v="COGECOM"/>
    <n v="10006532258"/>
    <s v="JULIANO LOPES DA LUZ"/>
    <s v="OUT"/>
    <s v="OUTROS"/>
    <n v="59066423153"/>
    <x v="1"/>
    <s v="0.00"/>
    <s v="137.47"/>
    <n v="52"/>
    <s v="EM NEGOCIAÇÃO"/>
    <s v="NEGOCIAÇÃO VIA WHATSAPP"/>
    <n v="37"/>
    <x v="33"/>
    <s v="15.38"/>
    <s v="anne"/>
    <s v="31 a 60"/>
    <s v="CPC"/>
    <x v="2"/>
  </r>
  <r>
    <s v="COGECOM"/>
    <n v="95975357"/>
    <s v="CLECIUS MARTINS DA CRUZ"/>
    <s v="OUT"/>
    <s v="OUTROS"/>
    <n v="409003980"/>
    <x v="1"/>
    <s v="0.00"/>
    <s v="60.96"/>
    <n v="44"/>
    <s v="EM NEGOCIAÇÃO"/>
    <s v="NEGOCIAÇÃO VIA WHATSAPP"/>
    <n v="37"/>
    <x v="33"/>
    <s v="11.04"/>
    <s v="amanda"/>
    <s v="31 a 60"/>
    <s v="CPC"/>
    <x v="2"/>
  </r>
  <r>
    <s v="COGECOM"/>
    <n v="40311009"/>
    <s v="CONEXÃO IMOBILIÁRIA LTDA EPP"/>
    <s v="OUT"/>
    <s v="OUTROS"/>
    <n v="2235763000147"/>
    <x v="1"/>
    <s v="0.00"/>
    <s v="194.06"/>
    <n v="75"/>
    <s v="SEM CONDIÇÕES"/>
    <s v="NEGOCIAÇÃO VIA WHATSAPP"/>
    <n v="37"/>
    <x v="33"/>
    <s v="12.59"/>
    <s v="amanda"/>
    <s v="61 a 90"/>
    <s v="CPC"/>
    <x v="3"/>
  </r>
  <r>
    <s v="COGECOM"/>
    <n v="4000602774"/>
    <s v="GILBERTO JOSE CARDOSO SIMOES ALVES"/>
    <s v="OUT"/>
    <s v="OUTROS"/>
    <n v="1043099115"/>
    <x v="1"/>
    <s v="0.00"/>
    <s v="634.43"/>
    <n v="79"/>
    <s v="EM NEGOCIAÇÃO"/>
    <s v="NEGOCIAÇÃO VIA WHATSAPP"/>
    <n v="37"/>
    <x v="33"/>
    <s v="14.25"/>
    <s v="roberto"/>
    <s v="61 a 90"/>
    <s v="CPC"/>
    <x v="2"/>
  </r>
  <r>
    <s v="COGECOM"/>
    <n v="3013904799"/>
    <s v="EDNEY SIQUEIRA MARTINS SILVA"/>
    <s v="OUT"/>
    <s v="OUTROS"/>
    <n v="9244286602"/>
    <x v="1"/>
    <s v="0.00"/>
    <s v="81.01"/>
    <n v="43"/>
    <s v="EM NEGOCIAÇÃO"/>
    <s v="NEGOCIAÇÃO VIA WHATSAPP"/>
    <n v="37"/>
    <x v="33"/>
    <s v="16.35"/>
    <s v="amanda"/>
    <s v="31 a 60"/>
    <s v="CPC"/>
    <x v="2"/>
  </r>
  <r>
    <s v="COGECOM"/>
    <n v="10022408639"/>
    <s v="EDSON DO PRADO COSTA"/>
    <s v="OUT"/>
    <s v="OUTROS"/>
    <n v="94496188104"/>
    <x v="1"/>
    <s v="0.00"/>
    <s v="157.29"/>
    <n v="44"/>
    <s v="EM NEGOCIAÇÃO"/>
    <s v="NEGOCIAÇÃO VIA WHATSAPP"/>
    <n v="37"/>
    <x v="33"/>
    <s v="15.58"/>
    <s v="amanda"/>
    <s v="31 a 60"/>
    <s v="CPC"/>
    <x v="2"/>
  </r>
  <r>
    <s v="COGECOM"/>
    <n v="3082119380"/>
    <s v="Eduardo Portella Ponsoni"/>
    <s v="OUT"/>
    <s v="OUTROS"/>
    <n v="94292523053"/>
    <x v="1"/>
    <s v="0.00"/>
    <s v="116.05"/>
    <n v="48"/>
    <s v="EM NEGOCIAÇÃO"/>
    <s v="NEGOCIAÇÃO VIA WHATSAPP"/>
    <n v="37"/>
    <x v="33"/>
    <s v="14.53"/>
    <s v="amanda"/>
    <s v="31 a 60"/>
    <s v="CPC"/>
    <x v="2"/>
  </r>
  <r>
    <s v="COGECOM"/>
    <n v="94593868"/>
    <s v="Eduardo Carmo Carvalho"/>
    <s v="OUT"/>
    <s v="OUTROS"/>
    <n v="5370193916"/>
    <x v="1"/>
    <s v="187.65"/>
    <s v="168.32"/>
    <n v="44"/>
    <s v="EM NEGOCIAÇÃO"/>
    <s v="GERAÇÃO DE ACORDO"/>
    <n v="37"/>
    <x v="33"/>
    <s v="16.16"/>
    <s v="amanda"/>
    <s v="31 a 60"/>
    <s v="CPC"/>
    <x v="2"/>
  </r>
  <r>
    <s v="COGECOM"/>
    <n v="2390825"/>
    <s v="Edicarlos Teske"/>
    <s v="OUT"/>
    <s v="OUTROS"/>
    <n v="88717178991"/>
    <x v="1"/>
    <s v="0.00"/>
    <s v="196.55"/>
    <n v="44"/>
    <s v="EM NEGOCIAÇÃO"/>
    <s v="NEGOCIAÇÃO VIA WHATSAPP"/>
    <n v="37"/>
    <x v="33"/>
    <s v="16.57"/>
    <s v="amanda"/>
    <s v="31 a 60"/>
    <s v="CPC"/>
    <x v="2"/>
  </r>
  <r>
    <s v="COGECOM"/>
    <n v="3092635905"/>
    <s v="Edison Becker"/>
    <s v="OUT"/>
    <s v="OUTROS"/>
    <n v="28902254020"/>
    <x v="1"/>
    <s v="0.00"/>
    <s v="129.37"/>
    <n v="48"/>
    <s v="EM NEGOCIAÇÃO"/>
    <s v="NEGOCIAÇÃO VIA WHATSAPP"/>
    <n v="37"/>
    <x v="33"/>
    <s v="16.37"/>
    <s v="amanda"/>
    <s v="31 a 60"/>
    <s v="CPC"/>
    <x v="2"/>
  </r>
  <r>
    <s v="COGECOM"/>
    <n v="91335671"/>
    <s v="CASA NOBRE PARTICIPACOES LTDA"/>
    <s v="OUT"/>
    <s v="OUTROS"/>
    <n v="75059972000150"/>
    <x v="1"/>
    <s v="0.00"/>
    <s v="223.32"/>
    <n v="45"/>
    <s v="EM NEGOCIAÇÃO"/>
    <s v="ALTERACAO DEBITO"/>
    <n v="40"/>
    <x v="33"/>
    <s v="12.28"/>
    <s v="elizabel"/>
    <s v="31 a 60"/>
    <s v="ACIONAMENTO"/>
    <x v="2"/>
  </r>
  <r>
    <s v="COGECOM"/>
    <n v="21800359"/>
    <s v="DROGARIA SANTA RITA DE OLIMPIA LTDA ME"/>
    <s v="OUT"/>
    <s v="OUTROS"/>
    <n v="55862551000237"/>
    <x v="1"/>
    <s v="0.00"/>
    <s v="641.07"/>
    <n v="79"/>
    <s v="EM NEGOCIAÇÃO"/>
    <s v="NEGOCIAÇÃO VIA WHATSAPP"/>
    <n v="37"/>
    <x v="33"/>
    <s v="17.04"/>
    <s v="amanda"/>
    <s v="61 a 90"/>
    <s v="CPC"/>
    <x v="2"/>
  </r>
  <r>
    <s v="COGECOM"/>
    <n v="3150143"/>
    <s v="GERSON LUIS FACCIN"/>
    <s v="OUT"/>
    <s v="OUTROS"/>
    <n v="58202366968"/>
    <x v="1"/>
    <s v="751.63"/>
    <s v="751.63"/>
    <n v="62"/>
    <s v="EM NEGOCIAÇÃO"/>
    <s v="NEGOCIAÇÃO VIA WHATSAPP"/>
    <n v="37"/>
    <x v="33"/>
    <s v="14.18"/>
    <s v="roberto"/>
    <s v="61 a 90"/>
    <s v="CPC"/>
    <x v="2"/>
  </r>
  <r>
    <s v="COGECOM"/>
    <n v="3085260544"/>
    <s v="GILSON FERRI ME"/>
    <s v="OUT"/>
    <s v="OUTROS"/>
    <n v="3179537000159"/>
    <x v="1"/>
    <s v="0.00"/>
    <s v="564.92"/>
    <n v="54"/>
    <s v="EM NEGOCIAÇÃO"/>
    <s v="NEGOCIAÇÃO VIA WHATSAPP"/>
    <n v="37"/>
    <x v="33"/>
    <s v="14.27"/>
    <s v="roberto"/>
    <s v="31 a 60"/>
    <s v="CPC"/>
    <x v="2"/>
  </r>
  <r>
    <s v="COGECOM"/>
    <n v="101033214"/>
    <s v="LEONTINA MENDES STADLER"/>
    <s v="OUT"/>
    <s v="OUTROS"/>
    <n v="59634723934"/>
    <x v="1"/>
    <s v="0.00"/>
    <s v="111.01"/>
    <n v="47"/>
    <s v="NÃO LOCALIZADO"/>
    <s v="TELEFONES SEM ATENDIMENTO"/>
    <n v="37"/>
    <x v="33"/>
    <s v="9.24"/>
    <s v="anne"/>
    <s v="31 a 60"/>
    <s v="ACIONAMENTO"/>
    <x v="0"/>
  </r>
  <r>
    <s v="COGECOM"/>
    <n v="23301864"/>
    <s v="LICIANE AFONSO DOMINGUES"/>
    <s v="OUT"/>
    <s v="OUTROS"/>
    <n v="2421128978"/>
    <x v="1"/>
    <s v="487.74"/>
    <s v="441.13"/>
    <n v="44"/>
    <s v="EM NEGOCIAÇÃO"/>
    <s v="NEGOCIAÇÃO VIA WHATSAPP"/>
    <n v="37"/>
    <x v="33"/>
    <s v="14.10"/>
    <s v="anne"/>
    <s v="31 a 60"/>
    <s v="CPC"/>
    <x v="2"/>
  </r>
  <r>
    <s v="COGECOM"/>
    <n v="7775920"/>
    <s v="MIGS COMÉRCIO DE ALIMENTOS LTDA ME"/>
    <s v="OUT"/>
    <s v="OUTROS"/>
    <n v="27344439000198"/>
    <x v="1"/>
    <s v="0.00"/>
    <s v="1490.30"/>
    <n v="76"/>
    <s v="EM NEGOCIAÇÃO"/>
    <s v="NEGOCIAÇÃO VIA WHATSAPP"/>
    <n v="37"/>
    <x v="33"/>
    <s v="8.41"/>
    <s v="roberto"/>
    <s v="61 a 90"/>
    <s v="CPC"/>
    <x v="2"/>
  </r>
  <r>
    <s v="COGECOM"/>
    <n v="73032328"/>
    <s v="MARCELA DO AMARAL"/>
    <s v="OUT"/>
    <s v="OUTROS"/>
    <n v="2933424908"/>
    <x v="1"/>
    <s v="0.00"/>
    <s v="545.51"/>
    <n v="44"/>
    <s v="EM NEGOCIAÇÃO"/>
    <s v="NEGOCIAÇÃO VIA WHATSAPP"/>
    <n v="37"/>
    <x v="33"/>
    <s v="16.35"/>
    <s v="anne"/>
    <s v="31 a 60"/>
    <s v="CPC"/>
    <x v="2"/>
  </r>
  <r>
    <s v="COGECOM"/>
    <n v="56427697"/>
    <s v="Marcielle de Araújo"/>
    <s v="OUT"/>
    <s v="OUTROS"/>
    <n v="341718947"/>
    <x v="1"/>
    <s v="0.00"/>
    <s v="131.21"/>
    <n v="44"/>
    <s v="EM NEGOCIAÇÃO"/>
    <s v="NEGOCIAÇÃO VIA WHATSAPP"/>
    <n v="37"/>
    <x v="33"/>
    <s v="16.47"/>
    <s v="anne"/>
    <s v="31 a 60"/>
    <s v="CPC"/>
    <x v="2"/>
  </r>
  <r>
    <s v="COGECOM"/>
    <n v="21138710"/>
    <s v="MARCIO ROBERTO CHAGAS"/>
    <s v="OUT"/>
    <s v="OUTROS"/>
    <n v="78663989920"/>
    <x v="1"/>
    <s v="0.00"/>
    <s v="449.96"/>
    <n v="44"/>
    <s v="EM NEGOCIAÇÃO"/>
    <s v="NEGOCIAÇÃO VIA WHATSAPP"/>
    <n v="37"/>
    <x v="33"/>
    <s v="17.17"/>
    <s v="anne"/>
    <s v="31 a 60"/>
    <s v="CPC"/>
    <x v="2"/>
  </r>
  <r>
    <s v="COGECOM"/>
    <n v="1060042165"/>
    <s v="MINI MERCADO CRISTALINA LTDA"/>
    <s v="OUT"/>
    <s v="OUTROS"/>
    <n v="37364429000178"/>
    <x v="1"/>
    <s v="0.00"/>
    <s v="3096.93"/>
    <n v="50"/>
    <s v="EM NEGOCIAÇÃO"/>
    <s v="NEGOCIAÇÃO VIA WHATSAPP"/>
    <n v="37"/>
    <x v="33"/>
    <s v="15.22"/>
    <s v="amanda"/>
    <s v="31 a 60"/>
    <s v="CPC"/>
    <x v="2"/>
  </r>
  <r>
    <s v="COGECOM"/>
    <n v="110336909"/>
    <s v="N D F COMERCIO DE COMBUSTIVEIS LTDA"/>
    <s v="OUT"/>
    <s v="OUTROS"/>
    <n v="2149213000105"/>
    <x v="1"/>
    <s v="0.00"/>
    <s v="735.70"/>
    <n v="49"/>
    <s v="EM NEGOCIAÇÃO"/>
    <s v="NEGOCIAÇÃO VIA WHATSAPP"/>
    <n v="37"/>
    <x v="33"/>
    <s v="14.39"/>
    <s v="anne"/>
    <s v="31 a 60"/>
    <s v="CPC"/>
    <x v="2"/>
  </r>
  <r>
    <s v="COGECOM"/>
    <n v="17296699"/>
    <s v="MR Produtos Naturais Ltda"/>
    <s v="OUT"/>
    <s v="OUTROS"/>
    <n v="34454171000102"/>
    <x v="1"/>
    <s v="0.00"/>
    <s v="931.43"/>
    <n v="48"/>
    <s v="EM NEGOCIAÇÃO"/>
    <s v="NEGOCIAÇÃO VIA WHATSAPP"/>
    <n v="37"/>
    <x v="33"/>
    <s v="15.06"/>
    <s v="anne"/>
    <s v="31 a 60"/>
    <s v="CPC"/>
    <x v="2"/>
  </r>
  <r>
    <s v="COGECOM"/>
    <n v="108149340"/>
    <s v="Maiara Aparecida Piccolli"/>
    <s v="OUT"/>
    <s v="OUTROS"/>
    <n v="8748840980"/>
    <x v="1"/>
    <s v="0.00"/>
    <s v="101.46"/>
    <n v="44"/>
    <s v="EM NEGOCIAÇÃO"/>
    <s v="NEGOCIAÇÃO VIA WHATSAPP"/>
    <n v="37"/>
    <x v="33"/>
    <s v="14.16"/>
    <s v="anne"/>
    <s v="31 a 60"/>
    <s v="CPC"/>
    <x v="2"/>
  </r>
  <r>
    <s v="COGECOM"/>
    <n v="107793903"/>
    <s v="EDERSON ACUNHA MORALES"/>
    <s v="OUT"/>
    <s v="OUTROS"/>
    <n v="3143613165"/>
    <x v="1"/>
    <s v="0.00"/>
    <s v="154.55"/>
    <n v="45"/>
    <s v="EM NEGOCIAÇÃO"/>
    <s v="NEGOCIAÇÃO VIA WHATSAPP"/>
    <n v="37"/>
    <x v="33"/>
    <s v="17.01"/>
    <s v="amanda"/>
    <s v="31 a 60"/>
    <s v="CPC"/>
    <x v="2"/>
  </r>
  <r>
    <s v="COGECOM"/>
    <n v="69293694"/>
    <s v="CECILIA OTILIA RODRIGUES"/>
    <s v="OUT"/>
    <s v="OUTROS"/>
    <n v="57462852934"/>
    <x v="1"/>
    <s v="0.00"/>
    <s v="991.34"/>
    <n v="77"/>
    <m/>
    <s v="ALTERACAO DEBITO"/>
    <n v="9999"/>
    <x v="33"/>
    <s v="12.12"/>
    <s v="elizabel"/>
    <s v="61 a 90"/>
    <s v="ACIONAMENTO"/>
    <x v="4"/>
  </r>
  <r>
    <s v="COGECOM"/>
    <n v="3095571347"/>
    <s v="Luis Eduardo Burzlaff"/>
    <s v="OUT"/>
    <s v="OUTROS"/>
    <n v="47322322053"/>
    <x v="1"/>
    <s v="0.00"/>
    <s v="240.25"/>
    <n v="51"/>
    <s v="EM NEGOCIAÇÃO"/>
    <s v="NEGOCIAÇÃO VIA WHATSAPP"/>
    <n v="44"/>
    <x v="33"/>
    <s v="11.15"/>
    <s v="anne"/>
    <s v="31 a 60"/>
    <s v="CPC"/>
    <x v="2"/>
  </r>
  <r>
    <s v="COGECOM"/>
    <n v="10004432485"/>
    <s v="LINDALVA DA SILVA CARVALHO LEAO"/>
    <s v="OUT"/>
    <s v="OUTROS"/>
    <n v="78365805120"/>
    <x v="0"/>
    <s v="893.46"/>
    <s v="46.15"/>
    <n v="200"/>
    <s v="NÃO LOCALIZADO"/>
    <s v="TELEFONES SEM ATENDIMENTO"/>
    <n v="40"/>
    <x v="34"/>
    <s v="16.28"/>
    <s v="anne"/>
    <s v="181 a 360"/>
    <s v="ACIONAMENTO"/>
    <x v="0"/>
  </r>
  <r>
    <s v="COGECOM"/>
    <n v="51907051"/>
    <s v="Manoella Borin Hoffmann"/>
    <s v="OUT"/>
    <s v="OUTROS"/>
    <n v="39452452000140"/>
    <x v="1"/>
    <s v="0.00"/>
    <s v="415.26"/>
    <n v="324"/>
    <s v="EM NEGOCIAÇÃO"/>
    <s v="NEGOCIAÇÃO VIA WHATSAPP"/>
    <n v="40"/>
    <x v="34"/>
    <s v="16.20"/>
    <s v="anne"/>
    <s v="181 a 360"/>
    <s v="CPC"/>
    <x v="2"/>
  </r>
  <r>
    <s v="COGECOM"/>
    <n v="11333844"/>
    <s v="Vivaldo Santana da Silva"/>
    <s v="OUT"/>
    <s v="OUTROS"/>
    <n v="26384302187"/>
    <x v="1"/>
    <s v="0.00"/>
    <s v="408.51"/>
    <n v="168"/>
    <s v="EM NEGOCIAÇÃO"/>
    <s v="ALTERACAO DEBITO"/>
    <n v="42"/>
    <x v="34"/>
    <s v="16.42"/>
    <s v="elizabel"/>
    <s v="91 a 180"/>
    <s v="ACIONAMENTO"/>
    <x v="2"/>
  </r>
  <r>
    <s v="COGECOM"/>
    <n v="11744674"/>
    <s v="EDELZI DE SOUZA COSTA"/>
    <s v="OUT"/>
    <s v="OUTROS"/>
    <n v="29033195100"/>
    <x v="1"/>
    <s v="218.41"/>
    <s v="228.71"/>
    <n v="169"/>
    <s v="EM NEGOCIAÇÃO"/>
    <s v="GERAÇÃO DE ACORDO"/>
    <n v="40"/>
    <x v="34"/>
    <s v="9.37"/>
    <s v="anakeppe"/>
    <s v="91 a 180"/>
    <s v="CPC"/>
    <x v="2"/>
  </r>
  <r>
    <s v="COGECOM"/>
    <n v="42211000"/>
    <s v="VANDERLEI GATTO"/>
    <s v="OUT"/>
    <s v="OUTROS"/>
    <n v="137377916"/>
    <x v="1"/>
    <s v="232.80"/>
    <s v="211.64"/>
    <n v="96"/>
    <s v="EM NEGOCIAÇÃO"/>
    <s v="NEGOCIAÇÃO VIA WHATSAPP"/>
    <n v="40"/>
    <x v="34"/>
    <s v="13.36"/>
    <s v="roberto"/>
    <s v="91 a 180"/>
    <s v="CPC"/>
    <x v="2"/>
  </r>
  <r>
    <s v="COGECOM"/>
    <n v="4002513336"/>
    <s v="JOHANN SILVEIRA"/>
    <s v="OUT"/>
    <s v="OUTROS"/>
    <n v="4671535076"/>
    <x v="1"/>
    <s v="0.00"/>
    <s v="177.24"/>
    <n v="141"/>
    <s v="AG RESPOSTA 1º CONTATO"/>
    <s v="ALTERACAO DEBITO"/>
    <n v="42"/>
    <x v="34"/>
    <s v="16.46"/>
    <s v="elizabel"/>
    <s v="91 a 180"/>
    <s v="ACIONAMENTO"/>
    <x v="4"/>
  </r>
  <r>
    <s v="COGECOM"/>
    <n v="3092333608"/>
    <s v="EDIFICIO C PROFISSIONAIS PRES ROOSEVELT"/>
    <s v="OUT"/>
    <s v="OUTROS"/>
    <n v="92931633000131"/>
    <x v="1"/>
    <s v="0.00"/>
    <s v="4136.68"/>
    <n v="142"/>
    <s v="EM NEGOCIAÇÃO"/>
    <s v="NEGOCIAÇÃO VIA WHATSAPP"/>
    <n v="40"/>
    <x v="34"/>
    <s v="10.42"/>
    <s v="anakeppe"/>
    <s v="91 a 180"/>
    <s v="CPC"/>
    <x v="2"/>
  </r>
  <r>
    <s v="COGECOM"/>
    <n v="47650079"/>
    <s v="AMP TRIUNFO COMERCIO DE PRODUTOS ALIMENTICIOS LTDA EPP"/>
    <s v="OUT"/>
    <s v="OUTROS"/>
    <n v="3609680000214"/>
    <x v="1"/>
    <s v="0.00"/>
    <s v="3533.22"/>
    <n v="118"/>
    <s v="AG RESPOSTA 1º CONTATO"/>
    <s v="ENVIADO MSG/E-MAIL 1º CONTATO"/>
    <n v="40"/>
    <x v="34"/>
    <s v="13.28"/>
    <s v="anakeppe"/>
    <s v="91 a 180"/>
    <s v="ACIONAMENTO"/>
    <x v="4"/>
  </r>
  <r>
    <s v="COGECOM"/>
    <n v="106980203"/>
    <s v="MUNZER ARMED  ISBELLE"/>
    <s v="OUT"/>
    <s v="OUTROS"/>
    <n v="8393304725"/>
    <x v="1"/>
    <s v="0.00"/>
    <s v="544.99"/>
    <n v="95"/>
    <s v="EM NEGOCIAÇÃO"/>
    <s v="NEGOCIAÇÃO VIA WHATSAPP"/>
    <n v="40"/>
    <x v="34"/>
    <s v="17.21"/>
    <s v="roberto"/>
    <s v="91 a 180"/>
    <s v="CPC"/>
    <x v="2"/>
  </r>
  <r>
    <s v="COGECOM"/>
    <n v="50790541"/>
    <s v="ANDERSON SCHMIDT BACK"/>
    <s v="OUT"/>
    <s v="OUTROS"/>
    <n v="829003967"/>
    <x v="1"/>
    <s v="0.00"/>
    <s v="2334.85"/>
    <n v="66"/>
    <s v="AG RESPOSTA 1º CONTATO"/>
    <s v="ALTERACAO DEBITO"/>
    <n v="41"/>
    <x v="34"/>
    <s v="16.45"/>
    <s v="elizabel"/>
    <s v="61 a 90"/>
    <s v="ACIONAMENTO"/>
    <x v="4"/>
  </r>
  <r>
    <s v="COGECOM"/>
    <n v="73634603"/>
    <s v="CLODOALDO MARTINS FERREIRA"/>
    <s v="OUT"/>
    <s v="OUTROS"/>
    <n v="98489097968"/>
    <x v="1"/>
    <s v="239.03"/>
    <s v="130.13"/>
    <n v="71"/>
    <s v="AG RESPOSTA 1º CONTATO"/>
    <s v="GERAÇÃO DE ACORDO"/>
    <n v="42"/>
    <x v="34"/>
    <s v="15.30"/>
    <s v="rafael"/>
    <s v="61 a 90"/>
    <s v="CPC"/>
    <x v="4"/>
  </r>
  <r>
    <s v="COGECOM"/>
    <n v="40284869"/>
    <s v="EDIFÍCIO RESIDENCIAL ATACAMA"/>
    <s v="OUT"/>
    <s v="OUTROS"/>
    <n v="13068287000133"/>
    <x v="1"/>
    <s v="443.37"/>
    <s v="443.37"/>
    <n v="62"/>
    <s v="EM NEGOCIAÇÃO"/>
    <s v="NEGOCIAÇÃO VIA WHATSAPP"/>
    <n v="40"/>
    <x v="34"/>
    <s v="15.15"/>
    <s v="roberto"/>
    <s v="61 a 90"/>
    <s v="CPC"/>
    <x v="2"/>
  </r>
  <r>
    <s v="COGECOM"/>
    <n v="28702434"/>
    <s v="ARNALDO RODRIGUES COSTA"/>
    <s v="OUT"/>
    <s v="OUTROS"/>
    <n v="10676646883"/>
    <x v="1"/>
    <s v="0.00"/>
    <s v="81.62"/>
    <n v="62"/>
    <s v="EM NEGOCIAÇÃO"/>
    <s v="ESTORNO"/>
    <n v="43"/>
    <x v="34"/>
    <s v="16.42"/>
    <s v="luciano"/>
    <s v="61 a 90"/>
    <s v="ACIONAMENTO"/>
    <x v="2"/>
  </r>
  <r>
    <s v="COGECOM"/>
    <n v="19789629"/>
    <s v="PAULO MARQUES FERREIRA"/>
    <s v="OUT"/>
    <s v="OUTROS"/>
    <n v="53667107900"/>
    <x v="1"/>
    <s v="0.00"/>
    <s v="146.94"/>
    <n v="53"/>
    <s v="EM NEGOCIAÇÃO"/>
    <s v="ALTERACAO DEBITO"/>
    <n v="43"/>
    <x v="34"/>
    <s v="16.40"/>
    <s v="elizabel"/>
    <s v="31 a 60"/>
    <s v="ACIONAMENTO"/>
    <x v="2"/>
  </r>
  <r>
    <s v="COGECOM"/>
    <n v="3001047984"/>
    <s v="DARMY MARTINS DE CASTRO"/>
    <s v="OUT"/>
    <s v="OUTROS"/>
    <n v="13313789668"/>
    <x v="1"/>
    <s v="0.00"/>
    <s v="110.66"/>
    <n v="53"/>
    <m/>
    <s v="ALTERACAO DEBITO"/>
    <n v="9999"/>
    <x v="34"/>
    <s v="16.39"/>
    <s v="elizabel"/>
    <s v="31 a 60"/>
    <s v="ACIONAMENTO"/>
    <x v="4"/>
  </r>
  <r>
    <s v="COGECOM"/>
    <n v="50715690"/>
    <s v="CLAUDIO LUIS RESENDE LACERDA"/>
    <s v="OUT"/>
    <s v="OUTROS"/>
    <n v="13942262762"/>
    <x v="1"/>
    <s v="0.00"/>
    <s v="171.41"/>
    <n v="44"/>
    <s v="EM NEGOCIAÇÃO"/>
    <s v="NEGOCIAÇÃO VIA WHATSAPP"/>
    <n v="40"/>
    <x v="34"/>
    <s v="16.43"/>
    <s v="amanda"/>
    <s v="31 a 60"/>
    <s v="CPC"/>
    <x v="2"/>
  </r>
  <r>
    <s v="COGECOM"/>
    <n v="31970490"/>
    <s v="CARLOS ANTÔNIO  BASTOS HERTZBERG"/>
    <s v="OUT"/>
    <s v="OUTROS"/>
    <n v="76769348004"/>
    <x v="1"/>
    <s v="0.00"/>
    <s v="69.69"/>
    <n v="44"/>
    <s v="EM NEGOCIAÇÃO"/>
    <s v="NEGOCIAÇÃO VIA WHATSAPP"/>
    <n v="40"/>
    <x v="34"/>
    <s v="14.07"/>
    <s v="amanda"/>
    <s v="31 a 60"/>
    <s v="CPC"/>
    <x v="2"/>
  </r>
  <r>
    <s v="COGECOM"/>
    <n v="98046705"/>
    <s v="CARLOS EDUARDO MAYERLE TREGLIA"/>
    <s v="OUT"/>
    <s v="OUTROS"/>
    <n v="2960017919"/>
    <x v="0"/>
    <s v="294.76"/>
    <s v="139.17"/>
    <n v="44"/>
    <s v="ACORDO VIGENTE COLCHÃO EM DIA"/>
    <s v="NEGOCIAÇÃO VIA WHATSAPP"/>
    <n v="40"/>
    <x v="34"/>
    <s v="14.28"/>
    <s v="amanda"/>
    <s v="31 a 60"/>
    <s v="CPC"/>
    <x v="2"/>
  </r>
  <r>
    <s v="COGECOM"/>
    <n v="4003192670"/>
    <s v="Cesar Augusto Einloft"/>
    <s v="OUT"/>
    <s v="OUTROS"/>
    <n v="1629413070"/>
    <x v="1"/>
    <s v="0.00"/>
    <s v="125.13"/>
    <n v="45"/>
    <s v="EM NEGOCIAÇÃO"/>
    <s v="NEGOCIAÇÃO VIA WHATSAPP"/>
    <n v="40"/>
    <x v="34"/>
    <s v="15.42"/>
    <s v="amanda"/>
    <s v="31 a 60"/>
    <s v="CPC"/>
    <x v="2"/>
  </r>
  <r>
    <s v="COGECOM"/>
    <n v="2900093448"/>
    <s v="CÍNTIA CECÍLIA MONTEIRO FERNANDES"/>
    <s v="OUT"/>
    <s v="OUTROS"/>
    <n v="72553499191"/>
    <x v="1"/>
    <s v="0.00"/>
    <s v="218.10"/>
    <n v="48"/>
    <s v="EM NEGOCIAÇÃO"/>
    <s v="NEGOCIAÇÃO VIA WHATSAPP"/>
    <n v="40"/>
    <x v="34"/>
    <s v="15.47"/>
    <s v="amanda"/>
    <s v="31 a 60"/>
    <s v="CPC"/>
    <x v="2"/>
  </r>
  <r>
    <s v="COGECOM"/>
    <n v="98595075"/>
    <s v="CLAUDIO HENRIQUE RIBEIRO"/>
    <s v="OUT"/>
    <s v="OUTROS"/>
    <n v="12779422858"/>
    <x v="1"/>
    <s v="0.00"/>
    <s v="60.18"/>
    <n v="44"/>
    <s v="EM NEGOCIAÇÃO"/>
    <s v="NEGOCIAÇÃO VIA WHATSAPP"/>
    <n v="40"/>
    <x v="34"/>
    <s v="16.34"/>
    <s v="amanda"/>
    <s v="31 a 60"/>
    <s v="CPC"/>
    <x v="2"/>
  </r>
  <r>
    <s v="COGECOM"/>
    <n v="49391030"/>
    <s v="CAROLINE DIAS DOS SANTOS"/>
    <s v="OUT"/>
    <s v="OUTROS"/>
    <n v="6875663988"/>
    <x v="1"/>
    <s v="154.10"/>
    <s v="137.82"/>
    <n v="44"/>
    <s v="EM NEGOCIAÇÃO"/>
    <s v="GERAÇÃO DE ACORDO"/>
    <n v="40"/>
    <x v="34"/>
    <s v="16.15"/>
    <s v="amanda"/>
    <s v="31 a 60"/>
    <s v="CPC"/>
    <x v="2"/>
  </r>
  <r>
    <s v="COGECOM"/>
    <n v="99702576"/>
    <s v="KÁSSIA KAROLINE RAFAEL"/>
    <s v="OUT"/>
    <s v="OUTROS"/>
    <n v="6936858910"/>
    <x v="0"/>
    <s v="913.10"/>
    <s v="433.62"/>
    <n v="45"/>
    <s v="AG RESPOSTA 1º CONTATO"/>
    <s v="GERAÇÃO DE ACORDO"/>
    <n v="40"/>
    <x v="34"/>
    <s v="14.44"/>
    <s v="anakeppe"/>
    <s v="31 a 60"/>
    <s v="CPC"/>
    <x v="4"/>
  </r>
  <r>
    <s v="COGECOM"/>
    <n v="104482869"/>
    <s v="K N C Galvao Ltda"/>
    <s v="OUT"/>
    <s v="OUTROS"/>
    <n v="44187332000100"/>
    <x v="1"/>
    <s v="712.45"/>
    <s v="645.41"/>
    <n v="50"/>
    <s v="AG RESPOSTA 1º CONTATO"/>
    <s v="GERAÇÃO DE ACORDO"/>
    <n v="40"/>
    <x v="34"/>
    <s v="14.51"/>
    <s v="rafael"/>
    <s v="31 a 60"/>
    <s v="CPC"/>
    <x v="4"/>
  </r>
  <r>
    <s v="COGECOM"/>
    <n v="3013130832"/>
    <s v="LEONORA APARECIDA APOLINARIO FERREIRA"/>
    <s v="OUT"/>
    <s v="OUTROS"/>
    <n v="4140968605"/>
    <x v="1"/>
    <s v="0.00"/>
    <s v="78.91"/>
    <n v="47"/>
    <s v="EM NEGOCIAÇÃO"/>
    <s v="NEGOCIAÇÃO VIA TELEFONE"/>
    <n v="40"/>
    <x v="34"/>
    <s v="15.03"/>
    <s v="anne"/>
    <s v="31 a 60"/>
    <s v="CPC"/>
    <x v="2"/>
  </r>
  <r>
    <s v="COGECOM"/>
    <n v="102075123"/>
    <s v="Ligia Magalhaes"/>
    <s v="OUT"/>
    <s v="OUTROS"/>
    <n v="31032715812"/>
    <x v="1"/>
    <s v="144.78"/>
    <s v="144.78"/>
    <n v="44"/>
    <s v="EM NEGOCIAÇÃO"/>
    <s v="NEGOCIAÇÃO VIA WHATSAPP"/>
    <n v="40"/>
    <x v="34"/>
    <s v="15.57"/>
    <s v="anne"/>
    <s v="31 a 60"/>
    <s v="CPC"/>
    <x v="2"/>
  </r>
  <r>
    <s v="COGECOM"/>
    <n v="3003087641"/>
    <s v="CARLOS VARGAS DA SILVA"/>
    <s v="OUT"/>
    <s v="OUTROS"/>
    <n v="39301893649"/>
    <x v="1"/>
    <s v="0.00"/>
    <s v="173.59"/>
    <n v="48"/>
    <s v="EM NEGOCIAÇÃO"/>
    <s v="NEGOCIAÇÃO VIA WHATSAPP"/>
    <n v="40"/>
    <x v="34"/>
    <s v="14.47"/>
    <s v="amanda"/>
    <s v="31 a 60"/>
    <s v="CPC"/>
    <x v="2"/>
  </r>
  <r>
    <s v="COGECOM"/>
    <n v="23736810"/>
    <s v="THAYNE DE OLIVEIRA MERCADO"/>
    <s v="OUT"/>
    <s v="OUTROS"/>
    <n v="25196190000195"/>
    <x v="1"/>
    <s v="0.00"/>
    <s v="3474.48"/>
    <n v="157"/>
    <s v="EM NEGOCIAÇÃO"/>
    <s v="NEGOCIAÇÃO VIA WHATSAPP"/>
    <n v="40"/>
    <x v="34"/>
    <s v="14.20"/>
    <s v="roberto"/>
    <s v="91 a 180"/>
    <s v="CPC"/>
    <x v="2"/>
  </r>
  <r>
    <s v="COGECOM"/>
    <n v="3000702790"/>
    <s v="ARTUR ZIONGONI DE MORAES"/>
    <s v="OUT"/>
    <s v="OUTROS"/>
    <n v="1537633619"/>
    <x v="1"/>
    <s v="0.00"/>
    <s v="82.78"/>
    <n v="186"/>
    <m/>
    <s v="ALTERACAO DEBITO"/>
    <n v="9999"/>
    <x v="35"/>
    <s v="11.04"/>
    <s v="elizabel"/>
    <s v="181 a 360"/>
    <s v="ACIONAMENTO"/>
    <x v="4"/>
  </r>
  <r>
    <s v="COGECOM"/>
    <n v="1530712"/>
    <s v="MIX MAX COMERCIO DE ALIMENTOS LTDA"/>
    <s v="OUT"/>
    <s v="OUTROS"/>
    <n v="33492361000151"/>
    <x v="0"/>
    <s v="4484.33"/>
    <s v="2313.46"/>
    <n v="1310"/>
    <s v="EM NEGOCIAÇÃO"/>
    <s v="NEGOCIAÇÃO VIA WHATSAPP"/>
    <n v="41"/>
    <x v="35"/>
    <s v="9.48"/>
    <s v="anne"/>
    <s v="Acima de 361"/>
    <s v="CPC"/>
    <x v="2"/>
  </r>
  <r>
    <s v="COGECOM"/>
    <n v="56402578"/>
    <s v="Otavio Augusto Cantoni Goncalves"/>
    <s v="OUT"/>
    <s v="OUTROS"/>
    <n v="944095950"/>
    <x v="1"/>
    <s v="0.00"/>
    <s v="170.35"/>
    <n v="222"/>
    <s v="EM NEGOCIAÇÃO"/>
    <s v="ALTERACAO DEBITO"/>
    <n v="44"/>
    <x v="35"/>
    <s v="10.23"/>
    <s v="elizabel"/>
    <s v="181 a 360"/>
    <s v="ACIONAMENTO"/>
    <x v="2"/>
  </r>
  <r>
    <s v="COGECOM"/>
    <n v="10021710323"/>
    <s v="AROLDO FARIA ARANTES"/>
    <s v="OUT"/>
    <s v="OUTROS"/>
    <n v="86256297172"/>
    <x v="1"/>
    <s v="298.06"/>
    <s v="97.72"/>
    <n v="152"/>
    <s v="EM NEGOCIAÇÃO"/>
    <s v="NEGOCIAÇÃO VIA WHATSAPP"/>
    <n v="41"/>
    <x v="35"/>
    <s v="15.53"/>
    <s v="roberto"/>
    <s v="91 a 180"/>
    <s v="CPC"/>
    <x v="2"/>
  </r>
  <r>
    <s v="COGECOM"/>
    <n v="41955927"/>
    <s v="DANIEL APARECIDO PINTO DA SILVA"/>
    <s v="OUT"/>
    <s v="OUTROS"/>
    <n v="30637575865"/>
    <x v="1"/>
    <s v="0.00"/>
    <s v="241.69"/>
    <n v="72"/>
    <s v="EM NEGOCIAÇÃO"/>
    <s v="ALTERACAO DEBITO"/>
    <n v="43"/>
    <x v="35"/>
    <s v="11.03"/>
    <s v="elizabel"/>
    <s v="61 a 90"/>
    <s v="ACIONAMENTO"/>
    <x v="2"/>
  </r>
  <r>
    <s v="COGECOM"/>
    <n v="95752889"/>
    <s v="Jonathas Braido"/>
    <s v="OUT"/>
    <s v="OUTROS"/>
    <n v="749905948"/>
    <x v="1"/>
    <s v="0.00"/>
    <s v="2683.79"/>
    <n v="69"/>
    <s v="NÃO LOCALIZADO"/>
    <s v="PESQUISA NEGATIVA"/>
    <n v="41"/>
    <x v="35"/>
    <s v="14.07"/>
    <s v="anakeppe"/>
    <s v="61 a 90"/>
    <s v="ACIONAMENTO"/>
    <x v="0"/>
  </r>
  <r>
    <s v="COGECOM"/>
    <n v="850"/>
    <s v="A Mansao Danceteria Ltda"/>
    <s v="OUT"/>
    <s v="OUTROS"/>
    <n v="36653213000160"/>
    <x v="1"/>
    <s v="0.00"/>
    <s v="3550.26"/>
    <n v="63"/>
    <s v="EM NEGOCIAÇÃO"/>
    <s v="ALTERACAO DEBITO"/>
    <n v="44"/>
    <x v="35"/>
    <s v="11.03"/>
    <s v="elizabel"/>
    <s v="61 a 90"/>
    <s v="ACIONAMENTO"/>
    <x v="2"/>
  </r>
  <r>
    <s v="COGECOM"/>
    <n v="3091228847"/>
    <s v="MARCO AURELIO DE SOUZA MARTINS"/>
    <s v="OUT"/>
    <s v="OUTROS"/>
    <n v="48067385068"/>
    <x v="0"/>
    <s v="983.07"/>
    <s v="466.94"/>
    <n v="49"/>
    <m/>
    <s v="GERAÇÃO DE ACORDO"/>
    <n v="9999"/>
    <x v="35"/>
    <s v="13.27"/>
    <s v="rafael"/>
    <s v="31 a 60"/>
    <s v="CPC"/>
    <x v="4"/>
  </r>
  <r>
    <s v="COGECOM"/>
    <n v="89555244"/>
    <s v="GISELLE SABINO DA SILVA HORT"/>
    <s v="OUT"/>
    <s v="OUTROS"/>
    <n v="4865319964"/>
    <x v="1"/>
    <s v="393.58"/>
    <s v="355.53"/>
    <n v="49"/>
    <s v="AG RESPOSTA 1º CONTATO"/>
    <s v="GERAÇÃO DE ACORDO"/>
    <n v="41"/>
    <x v="35"/>
    <s v="13.55"/>
    <s v="rafael"/>
    <s v="31 a 60"/>
    <s v="CPC"/>
    <x v="4"/>
  </r>
  <r>
    <s v="COGECOM"/>
    <n v="3013192272"/>
    <s v="Vanda Satlher de Carvalho Cabral"/>
    <s v="OUT"/>
    <s v="OUTROS"/>
    <n v="45831548600"/>
    <x v="1"/>
    <s v="0.00"/>
    <s v="259.89"/>
    <n v="57"/>
    <s v="EM NEGOCIAÇÃO"/>
    <s v="ALTERACAO DEBITO"/>
    <n v="43"/>
    <x v="35"/>
    <s v="11.21"/>
    <s v="elizabel"/>
    <s v="31 a 60"/>
    <s v="ACIONAMENTO"/>
    <x v="2"/>
  </r>
  <r>
    <s v="COGECOM"/>
    <n v="104834080"/>
    <s v="MIX MAX COMERCIO DE ALIMENTOS LTDA"/>
    <s v="OUT"/>
    <s v="OUTROS"/>
    <n v="33492361000151"/>
    <x v="0"/>
    <s v="3689.81"/>
    <s v="1904.28"/>
    <n v="1317"/>
    <s v="EM NEGOCIAÇÃO"/>
    <s v="NEGOCIAÇÃO VIA WHATSAPP"/>
    <n v="48"/>
    <x v="35"/>
    <s v="9.49"/>
    <s v="anne"/>
    <s v="Acima de 361"/>
    <s v="CPC"/>
    <x v="2"/>
  </r>
  <r>
    <s v="COGECOM"/>
    <n v="107463261"/>
    <s v="MARIA QUITERIA SILVA BESERRA"/>
    <s v="OUT"/>
    <s v="OUTROS"/>
    <n v="33779595800"/>
    <x v="1"/>
    <s v="0.00"/>
    <s v="265.56"/>
    <n v="68"/>
    <s v="EM NEGOCIAÇÃO"/>
    <s v="00001 - BAIXA POR PAGAMENTO"/>
    <n v="51"/>
    <x v="35"/>
    <s v="10.27"/>
    <s v="elizabel"/>
    <s v="61 a 90"/>
    <s v="ACIONAMENTO"/>
    <x v="2"/>
  </r>
  <r>
    <s v="COGECOM"/>
    <n v="1510021398"/>
    <s v="BARTOLOMEU VIEIRA DAS NEVES"/>
    <s v="OUT"/>
    <s v="OUTROS"/>
    <n v="10703780549"/>
    <x v="1"/>
    <s v="0.00"/>
    <s v="30.76"/>
    <n v="167"/>
    <s v="NÃO LOCALIZADO"/>
    <s v="TELEFONES SEM ATENDIMENTO"/>
    <n v="42"/>
    <x v="36"/>
    <s v="11.08"/>
    <s v="anne"/>
    <s v="91 a 180"/>
    <s v="ACIONAMENTO"/>
    <x v="0"/>
  </r>
  <r>
    <s v="COGECOM"/>
    <n v="41390778"/>
    <s v="CRISTIANE MARKS BRZOSTEK"/>
    <s v="OUT"/>
    <s v="OUTROS"/>
    <n v="345860080"/>
    <x v="1"/>
    <s v="0.00"/>
    <s v="686.72"/>
    <n v="192"/>
    <s v="EM NEGOCIAÇÃO"/>
    <s v="ALTERACAO DEBITO"/>
    <n v="44"/>
    <x v="36"/>
    <s v="17.04"/>
    <s v="elizabel"/>
    <s v="181 a 360"/>
    <s v="ACIONAMENTO"/>
    <x v="2"/>
  </r>
  <r>
    <s v="COGECOM"/>
    <n v="106938428"/>
    <s v="DARBY RICARDO MALIKOSKI"/>
    <s v="OUT"/>
    <s v="OUTROS"/>
    <n v="2440078964"/>
    <x v="1"/>
    <s v="0.00"/>
    <s v="176.63"/>
    <n v="194"/>
    <s v="EM NEGOCIAÇÃO"/>
    <s v="NEGOCIAÇÃO VIA WHATSAPP"/>
    <n v="42"/>
    <x v="36"/>
    <s v="9.14"/>
    <s v="anakeppe"/>
    <s v="181 a 360"/>
    <s v="CPC"/>
    <x v="2"/>
  </r>
  <r>
    <s v="COGECOM"/>
    <n v="54554249"/>
    <s v="Jean Carlo Luciani"/>
    <s v="OUT"/>
    <s v="OUTROS"/>
    <n v="521480922"/>
    <x v="1"/>
    <s v="0.00"/>
    <s v="339.39"/>
    <n v="212"/>
    <s v="EM NEGOCIAÇÃO"/>
    <s v="ALTERACAO DEBITO"/>
    <n v="42"/>
    <x v="36"/>
    <s v="16.00"/>
    <s v="luciano"/>
    <s v="181 a 360"/>
    <s v="ACIONAMENTO"/>
    <x v="2"/>
  </r>
  <r>
    <s v="COGECOM"/>
    <n v="480096818"/>
    <s v="TARCIZIO VIEIRA NETO"/>
    <s v="OUT"/>
    <s v="OUTROS"/>
    <n v="98992368100"/>
    <x v="0"/>
    <s v="361.57"/>
    <s v="46.15"/>
    <n v="203"/>
    <s v="AG RESPOSTA 1º CONTATO"/>
    <s v="GERAÇÃO DE ACORDO"/>
    <n v="42"/>
    <x v="36"/>
    <s v="14.13"/>
    <s v="rafael"/>
    <s v="181 a 360"/>
    <s v="CPC"/>
    <x v="4"/>
  </r>
  <r>
    <s v="COGECOM"/>
    <n v="50897010"/>
    <s v="Leonardo Martins De Vila"/>
    <s v="OUT"/>
    <s v="OUTROS"/>
    <n v="7321385906"/>
    <x v="1"/>
    <s v="0.00"/>
    <s v="164.05"/>
    <n v="153"/>
    <s v="EM NEGOCIAÇÃO"/>
    <s v="ESTORNO"/>
    <n v="47"/>
    <x v="36"/>
    <s v="16.26"/>
    <s v="luciano"/>
    <s v="91 a 180"/>
    <s v="ACIONAMENTO"/>
    <x v="2"/>
  </r>
  <r>
    <s v="COGECOM"/>
    <n v="93443404"/>
    <s v="MARCIA CRISTINA JUSTINO WATANABE"/>
    <s v="OUT"/>
    <s v="OUTROS"/>
    <n v="81352930978"/>
    <x v="1"/>
    <s v="407.47"/>
    <s v="407.47"/>
    <n v="145"/>
    <s v="EM NEGOCIAÇÃO"/>
    <s v="NEGOCIAÇÃO VIA WHATSAPP"/>
    <n v="42"/>
    <x v="36"/>
    <s v="14.09"/>
    <s v="rafael"/>
    <s v="91 a 180"/>
    <s v="CPC"/>
    <x v="2"/>
  </r>
  <r>
    <s v="COGECOM"/>
    <n v="81762852"/>
    <s v="ANDREI LEMES DA  SILVA"/>
    <s v="OUT"/>
    <s v="OUTROS"/>
    <n v="80307701034"/>
    <x v="1"/>
    <s v="166.55"/>
    <s v="149.14"/>
    <n v="75"/>
    <s v="EM NEGOCIAÇÃO"/>
    <s v="NEGOCIAÇÃO VIA WHATSAPP"/>
    <n v="42"/>
    <x v="36"/>
    <s v="14.30"/>
    <s v="rafael"/>
    <s v="61 a 90"/>
    <s v="CPC"/>
    <x v="2"/>
  </r>
  <r>
    <s v="COGECOM"/>
    <n v="44637219"/>
    <s v="GRASIELA KUERTEN"/>
    <s v="OUT"/>
    <s v="OUTROS"/>
    <n v="2576698921"/>
    <x v="1"/>
    <s v="0.00"/>
    <s v="143.93"/>
    <n v="66"/>
    <s v="EM NEGOCIAÇÃO"/>
    <s v="NEGOCIAÇÃO VIA TELEFONE"/>
    <n v="42"/>
    <x v="36"/>
    <s v="14.38"/>
    <s v="anne"/>
    <s v="61 a 90"/>
    <s v="CPC"/>
    <x v="2"/>
  </r>
  <r>
    <s v="COGECOM"/>
    <n v="21863904"/>
    <s v="LC Comercio de Alimentos Ltda"/>
    <s v="OUT"/>
    <s v="OUTROS"/>
    <n v="2567094000100"/>
    <x v="1"/>
    <s v="0.00"/>
    <s v="1660.10"/>
    <n v="76"/>
    <s v="EM NEGOCIAÇÃO"/>
    <s v="ALTERACAO DEBITO"/>
    <n v="44"/>
    <x v="36"/>
    <s v="17.23"/>
    <s v="elizabel"/>
    <s v="61 a 90"/>
    <s v="ACIONAMENTO"/>
    <x v="2"/>
  </r>
  <r>
    <s v="COGECOM"/>
    <n v="26457084"/>
    <s v="WEILON MODAS ACSESSORIOS LTDA"/>
    <s v="OUT"/>
    <s v="OUTROS"/>
    <n v="27880679000107"/>
    <x v="1"/>
    <s v="0.00"/>
    <s v="181.42"/>
    <n v="69"/>
    <s v="EM NEGOCIAÇÃO"/>
    <s v="ESTORNO"/>
    <n v="43"/>
    <x v="36"/>
    <s v="16.49"/>
    <s v="luciano"/>
    <s v="61 a 90"/>
    <s v="ACIONAMENTO"/>
    <x v="2"/>
  </r>
  <r>
    <s v="COGECOM"/>
    <n v="3013505249"/>
    <s v="SERGIO LUIZ DE MORAIS"/>
    <s v="OUT"/>
    <s v="OUTROS"/>
    <n v="5154473663"/>
    <x v="1"/>
    <s v="0.00"/>
    <s v="81.81"/>
    <n v="58"/>
    <s v="EM NEGOCIAÇÃO"/>
    <s v="ALTERACAO DEBITO"/>
    <n v="44"/>
    <x v="36"/>
    <s v="17.14"/>
    <s v="elizabel"/>
    <s v="31 a 60"/>
    <s v="ACIONAMENTO"/>
    <x v="2"/>
  </r>
  <r>
    <s v="COGECOM"/>
    <n v="19298060"/>
    <s v="MARCOS ANTONIO VIEIRA SALOMAO"/>
    <s v="OUT"/>
    <s v="OUTROS"/>
    <n v="5550049961"/>
    <x v="1"/>
    <s v="0.00"/>
    <s v="15.44"/>
    <n v="60"/>
    <s v="ACORDO VIGENTE COLCHÃO EM DIA"/>
    <s v="NEGOCIAÇÃO VIA TELEFONE"/>
    <n v="42"/>
    <x v="36"/>
    <s v="14.59"/>
    <s v="anakeppe"/>
    <s v="31 a 60"/>
    <s v="CPC"/>
    <x v="2"/>
  </r>
  <r>
    <s v="COGECOM"/>
    <n v="45813266"/>
    <s v="SERGIO FRANCISCO DA CUNHA"/>
    <s v="OUT"/>
    <s v="OUTROS"/>
    <n v="72998377904"/>
    <x v="1"/>
    <s v="106.23"/>
    <s v="94.30"/>
    <n v="62"/>
    <s v="EM NEGOCIAÇÃO"/>
    <s v="NEGOCIAÇÃO VIA WHATSAPP"/>
    <n v="42"/>
    <x v="36"/>
    <s v="16.49"/>
    <s v="anne"/>
    <s v="61 a 90"/>
    <s v="CPC"/>
    <x v="2"/>
  </r>
  <r>
    <s v="COGECOM"/>
    <n v="27774024"/>
    <s v="Anderson da Luz"/>
    <s v="OUT"/>
    <s v="OUTROS"/>
    <n v="6941691964"/>
    <x v="1"/>
    <s v="0.00"/>
    <s v="2417.01"/>
    <n v="60"/>
    <s v="EM NEGOCIAÇÃO"/>
    <s v="ALTERACAO DEBITO"/>
    <n v="47"/>
    <x v="36"/>
    <s v="17.14"/>
    <s v="elizabel"/>
    <s v="31 a 60"/>
    <s v="ACIONAMENTO"/>
    <x v="2"/>
  </r>
  <r>
    <s v="COGECOM"/>
    <n v="10015248494"/>
    <s v="LEANDRO DE MOURA RIBEIRO"/>
    <s v="OUT"/>
    <s v="OUTROS"/>
    <n v="646614150"/>
    <x v="1"/>
    <s v="106.45"/>
    <s v="94.50"/>
    <n v="49"/>
    <m/>
    <s v="GERAÇÃO DE ACORDO"/>
    <n v="9999"/>
    <x v="36"/>
    <s v="13.50"/>
    <s v="rafael"/>
    <s v="31 a 60"/>
    <s v="CPC"/>
    <x v="4"/>
  </r>
  <r>
    <s v="COGECOM"/>
    <n v="11670861"/>
    <s v="MYCHELLE CARVALHO RESENDE QUEIROZ"/>
    <s v="OUT"/>
    <s v="OUTROS"/>
    <n v="670171182"/>
    <x v="1"/>
    <s v="0.00"/>
    <s v="199.60"/>
    <n v="53"/>
    <s v="EM NEGOCIAÇÃO"/>
    <s v="ESTORNO"/>
    <n v="43"/>
    <x v="36"/>
    <s v="16.36"/>
    <s v="luciano"/>
    <s v="31 a 60"/>
    <s v="ACIONAMENTO"/>
    <x v="2"/>
  </r>
  <r>
    <s v="COGECOM"/>
    <n v="10016658211"/>
    <s v="Kleber Augusto Alves"/>
    <s v="OUT"/>
    <s v="OUTROS"/>
    <n v="586068155"/>
    <x v="1"/>
    <s v="0.00"/>
    <s v="487.08"/>
    <n v="49"/>
    <s v="EM NEGOCIAÇÃO"/>
    <s v="NEGOCIAÇÃO VIA WHATSAPP"/>
    <n v="42"/>
    <x v="36"/>
    <s v="9.46"/>
    <s v="anakeppe"/>
    <s v="31 a 60"/>
    <s v="CPC"/>
    <x v="2"/>
  </r>
  <r>
    <s v="COGECOM"/>
    <n v="3091552479"/>
    <s v="Paulo Roberto Pereira Fernandes"/>
    <s v="OUT"/>
    <s v="OUTROS"/>
    <n v="51640317015"/>
    <x v="1"/>
    <s v="0.00"/>
    <s v="449.26"/>
    <n v="49"/>
    <s v="EM NEGOCIAÇÃO"/>
    <s v="NEGOCIAÇÃO VIA WHATSAPP"/>
    <n v="42"/>
    <x v="36"/>
    <s v="9.49"/>
    <s v="anakeppe"/>
    <s v="31 a 60"/>
    <s v="CPC"/>
    <x v="2"/>
  </r>
  <r>
    <s v="COGECOM"/>
    <n v="42978256"/>
    <s v="CINARA APARECIDA CARDOZO"/>
    <s v="OUT"/>
    <s v="OUTROS"/>
    <n v="2948686903"/>
    <x v="1"/>
    <s v="0.00"/>
    <s v="465.10"/>
    <n v="49"/>
    <s v="EM NEGOCIAÇÃO"/>
    <s v="NEGOCIAÇÃO VIA WHATSAPP"/>
    <n v="42"/>
    <x v="36"/>
    <s v="9.48"/>
    <s v="anakeppe"/>
    <s v="31 a 60"/>
    <s v="CPC"/>
    <x v="2"/>
  </r>
  <r>
    <s v="COGECOM"/>
    <n v="87529416"/>
    <s v="Di Letra Etiquetas e Adesivos Ltda"/>
    <s v="OUT"/>
    <s v="OUTROS"/>
    <n v="4373504000108"/>
    <x v="1"/>
    <s v="0.00"/>
    <s v="406.67"/>
    <n v="49"/>
    <s v="EM NEGOCIAÇÃO"/>
    <s v="NEGOCIAÇÃO VIA WHATSAPP"/>
    <n v="42"/>
    <x v="36"/>
    <s v="10.43"/>
    <s v="anakeppe"/>
    <s v="31 a 60"/>
    <s v="CPC"/>
    <x v="2"/>
  </r>
  <r>
    <s v="COGECOM"/>
    <n v="104190272"/>
    <s v="Renato Silveira"/>
    <s v="OUT"/>
    <s v="OUTROS"/>
    <n v="4260509918"/>
    <x v="1"/>
    <s v="0.00"/>
    <s v="492.54"/>
    <n v="49"/>
    <s v="EM NEGOCIAÇÃO"/>
    <s v="NEGOCIAÇÃO VIA WHATSAPP"/>
    <n v="42"/>
    <x v="36"/>
    <s v="9.43"/>
    <s v="anakeppe"/>
    <s v="31 a 60"/>
    <s v="CPC"/>
    <x v="2"/>
  </r>
  <r>
    <s v="COGECOM"/>
    <n v="3014954865"/>
    <s v="RONALDO DE FREITAS RIBEIRO"/>
    <s v="OUT"/>
    <s v="OUTROS"/>
    <n v="5646973627"/>
    <x v="1"/>
    <s v="0.00"/>
    <s v="354.00"/>
    <n v="55"/>
    <s v="EM NEGOCIAÇÃO"/>
    <s v="ESTORNO"/>
    <n v="43"/>
    <x v="36"/>
    <s v="16.44"/>
    <s v="luciano"/>
    <s v="31 a 60"/>
    <s v="ACIONAMENTO"/>
    <x v="2"/>
  </r>
  <r>
    <s v="COGECOM"/>
    <n v="3007059367"/>
    <s v="PABLO FREITAS BARBOSA"/>
    <s v="OUT"/>
    <s v="OUTROS"/>
    <n v="13232521690"/>
    <x v="1"/>
    <s v="0.00"/>
    <s v="56.47"/>
    <n v="53"/>
    <s v="EM NEGOCIAÇÃO"/>
    <s v="ESTORNO"/>
    <n v="44"/>
    <x v="36"/>
    <s v="16.39"/>
    <s v="luciano"/>
    <s v="31 a 60"/>
    <s v="ACIONAMENTO"/>
    <x v="2"/>
  </r>
  <r>
    <s v="COGECOM"/>
    <n v="33916438"/>
    <s v="POSTO EVEREST DE RIBEIRAO PRETO LTDA"/>
    <s v="OUT"/>
    <s v="OUTROS"/>
    <n v="9420400000120"/>
    <x v="1"/>
    <s v="0.00"/>
    <s v="491.39"/>
    <n v="49"/>
    <s v="EM NEGOCIAÇÃO"/>
    <s v="NEGOCIAÇÃO VIA WHATSAPP"/>
    <n v="42"/>
    <x v="36"/>
    <s v="9.44"/>
    <s v="anakeppe"/>
    <s v="31 a 60"/>
    <s v="CPC"/>
    <x v="2"/>
  </r>
  <r>
    <s v="COGECOM"/>
    <n v="10019043234"/>
    <s v="ALEKSANDRA LEAL BRAZ FERREIRA"/>
    <s v="OUT"/>
    <s v="OUTROS"/>
    <n v="78498953120"/>
    <x v="1"/>
    <s v="223.95"/>
    <s v="61.53"/>
    <n v="189"/>
    <s v="EM NEGOCIAÇÃO"/>
    <s v="ESTORNO"/>
    <n v="163"/>
    <x v="37"/>
    <s v="14.26"/>
    <s v="luciano"/>
    <s v="181 a 360"/>
    <s v="ACIONAMENTO"/>
    <x v="2"/>
  </r>
  <r>
    <s v="COGECOM"/>
    <n v="10029382902"/>
    <s v="ANGELA NASCIMENTO DA SILVA"/>
    <s v="OUT"/>
    <s v="OUTROS"/>
    <n v="90669266191"/>
    <x v="1"/>
    <s v="0.00"/>
    <s v="123.06"/>
    <n v="196"/>
    <s v="EM NEGOCIAÇÃO"/>
    <s v="NEGOCIAÇÃO VIA WHATSAPP"/>
    <n v="43"/>
    <x v="37"/>
    <s v="9.08"/>
    <s v="anne"/>
    <s v="181 a 360"/>
    <s v="CPC"/>
    <x v="2"/>
  </r>
  <r>
    <s v="COGECOM"/>
    <n v="79497276"/>
    <s v="Elisa Domingos Oliveira"/>
    <s v="OUT"/>
    <s v="OUTROS"/>
    <n v="5460547903"/>
    <x v="1"/>
    <s v="0.00"/>
    <s v="23.03"/>
    <n v="622"/>
    <s v="EM NEGOCIAÇÃO"/>
    <s v="NEGOCIAÇÃO VIA WHATSAPP"/>
    <n v="43"/>
    <x v="37"/>
    <s v="9.26"/>
    <s v="anne"/>
    <s v="Acima de 361"/>
    <s v="CPC"/>
    <x v="2"/>
  </r>
  <r>
    <s v="COGECOM"/>
    <n v="10028143963"/>
    <s v="LEANDRO FERREIRA PETRONILIO DE JESUS"/>
    <s v="OUT"/>
    <s v="OUTROS"/>
    <n v="70817281118"/>
    <x v="0"/>
    <s v="118.19"/>
    <s v="14.42"/>
    <n v="217"/>
    <s v="EM NEGOCIAÇÃO"/>
    <s v="NEGOCIAÇÃO VIA WHATSAPP"/>
    <n v="43"/>
    <x v="37"/>
    <s v="16.57"/>
    <s v="anne"/>
    <s v="181 a 360"/>
    <s v="CPC"/>
    <x v="2"/>
  </r>
  <r>
    <s v="COGECOM"/>
    <n v="10029711892"/>
    <s v="THALES ANDRADE SOUZA"/>
    <s v="OUT"/>
    <s v="OUTROS"/>
    <n v="5486442173"/>
    <x v="0"/>
    <s v="1298.56"/>
    <s v="85.01"/>
    <n v="302"/>
    <s v="EM NEGOCIAÇÃO"/>
    <s v="GERAÇÃO DE ACORDO"/>
    <n v="9999"/>
    <x v="37"/>
    <s v="14.26"/>
    <s v="rafael"/>
    <s v="181 a 360"/>
    <s v="CPC"/>
    <x v="2"/>
  </r>
  <r>
    <s v="COGECOM"/>
    <n v="6946089"/>
    <s v="ZOILA ALICIA MOLINA REYERO"/>
    <s v="OUT"/>
    <s v="OUTROS"/>
    <n v="641516975"/>
    <x v="1"/>
    <s v="131.45"/>
    <s v="105.66"/>
    <n v="229"/>
    <m/>
    <s v="GERAÇÃO DE ACORDO"/>
    <n v="9999"/>
    <x v="37"/>
    <s v="14.42"/>
    <s v="rafael"/>
    <s v="181 a 360"/>
    <s v="CPC"/>
    <x v="4"/>
  </r>
  <r>
    <s v="COGECOM"/>
    <n v="10017407735"/>
    <s v="Camilla Vieira Abreu"/>
    <s v="OUT"/>
    <s v="OUTROS"/>
    <n v="4060732109"/>
    <x v="1"/>
    <s v="576.71"/>
    <s v="360.26"/>
    <n v="168"/>
    <s v="EM NEGOCIAÇÃO"/>
    <s v="NEGOCIAÇÃO VIA WHATSAPP"/>
    <n v="43"/>
    <x v="37"/>
    <s v="14.47"/>
    <s v="anakeppe"/>
    <s v="91 a 180"/>
    <s v="CPC"/>
    <x v="2"/>
  </r>
  <r>
    <s v="COGECOM"/>
    <n v="3003257016"/>
    <s v="LEANDRO PAIKER PATRICIO ROMERO"/>
    <s v="OUT"/>
    <s v="OUTROS"/>
    <n v="5979345680"/>
    <x v="1"/>
    <s v="85.46"/>
    <s v="62.42"/>
    <n v="153"/>
    <s v="EM NEGOCIAÇÃO"/>
    <s v="GERAÇÃO DE ACORDO"/>
    <n v="43"/>
    <x v="37"/>
    <s v="12.13"/>
    <s v="anakeppe"/>
    <s v="91 a 180"/>
    <s v="CPC"/>
    <x v="2"/>
  </r>
  <r>
    <s v="COGECOM"/>
    <n v="7641567"/>
    <s v="FABIO DI RIENZO TOBIAS"/>
    <s v="OUT"/>
    <s v="OUTROS"/>
    <n v="6357340952"/>
    <x v="1"/>
    <s v="393.88"/>
    <s v="393.88"/>
    <n v="144"/>
    <s v="EM NEGOCIAÇÃO"/>
    <s v="NEGOCIAÇÃO VIA WHATSAPP"/>
    <n v="43"/>
    <x v="37"/>
    <s v="10.40"/>
    <s v="roberto"/>
    <s v="91 a 180"/>
    <s v="CPC"/>
    <x v="2"/>
  </r>
  <r>
    <s v="COGECOM"/>
    <n v="110064607"/>
    <s v="THAIS THAIANARA NAITZK 08544340970"/>
    <s v="OUT"/>
    <s v="OUTROS"/>
    <n v="44110205000103"/>
    <x v="1"/>
    <s v="0.00"/>
    <s v="1266.85"/>
    <n v="122"/>
    <s v="EM NEGOCIAÇÃO"/>
    <s v="NEGOCIAÇÃO VIA WHATSAPP"/>
    <n v="43"/>
    <x v="37"/>
    <s v="15.51"/>
    <s v="roberto"/>
    <s v="91 a 180"/>
    <s v="CPC"/>
    <x v="2"/>
  </r>
  <r>
    <s v="COGECOM"/>
    <n v="18301377"/>
    <s v="CELIA APARECIDA GONCALVES DE FARIA"/>
    <s v="OUT"/>
    <s v="OUTROS"/>
    <n v="10010770836"/>
    <x v="1"/>
    <s v="0.00"/>
    <s v="86.63"/>
    <n v="66"/>
    <m/>
    <s v="ESTORNO"/>
    <n v="9999"/>
    <x v="37"/>
    <s v="14.53"/>
    <s v="luciano"/>
    <s v="61 a 90"/>
    <s v="ACIONAMENTO"/>
    <x v="4"/>
  </r>
  <r>
    <s v="COGECOM"/>
    <n v="32191037"/>
    <s v="CRISTIANE GROSSL"/>
    <s v="OUT"/>
    <s v="OUTROS"/>
    <n v="417951990"/>
    <x v="1"/>
    <s v="0.00"/>
    <s v="115.85"/>
    <n v="66"/>
    <s v="ACORDO VIGENTE COLCHÃO EM DIA"/>
    <s v="ESTORNO"/>
    <n v="47"/>
    <x v="37"/>
    <s v="14.54"/>
    <s v="luciano"/>
    <s v="61 a 90"/>
    <s v="ACIONAMENTO"/>
    <x v="2"/>
  </r>
  <r>
    <s v="COGECOM"/>
    <n v="44523515"/>
    <s v="Kathlen Karoline Danker"/>
    <s v="OUT"/>
    <s v="OUTROS"/>
    <n v="7162378900"/>
    <x v="1"/>
    <s v="0.00"/>
    <s v="69.21"/>
    <n v="66"/>
    <s v="EM NEGOCIAÇÃO"/>
    <s v="ESTORNO"/>
    <n v="44"/>
    <x v="37"/>
    <s v="14.56"/>
    <s v="luciano"/>
    <s v="61 a 90"/>
    <s v="ACIONAMENTO"/>
    <x v="2"/>
  </r>
  <r>
    <s v="COGECOM"/>
    <n v="86666983"/>
    <s v="Rdf Mercado Express Ltda"/>
    <s v="OUT"/>
    <s v="OUTROS"/>
    <n v="43154684000199"/>
    <x v="1"/>
    <s v="0.00"/>
    <s v="9199.26"/>
    <n v="65"/>
    <s v="EM NEGOCIAÇÃO"/>
    <s v="ESTORNO"/>
    <n v="43"/>
    <x v="37"/>
    <s v="13.42"/>
    <s v="luciano"/>
    <s v="61 a 90"/>
    <s v="ACIONAMENTO"/>
    <x v="2"/>
  </r>
  <r>
    <s v="COGECOM"/>
    <n v="24243796"/>
    <s v="CONTABILIDADE OMEGA LTDA"/>
    <s v="OUT"/>
    <s v="OUTROS"/>
    <n v="80122666000151"/>
    <x v="1"/>
    <s v="0.00"/>
    <s v="1210.35"/>
    <n v="62"/>
    <s v="EM NEGOCIAÇÃO"/>
    <s v="NEGOCIAÇÃO VIA WHATSAPP"/>
    <n v="43"/>
    <x v="37"/>
    <s v="13.45"/>
    <s v="roberto"/>
    <s v="61 a 90"/>
    <s v="CPC"/>
    <x v="2"/>
  </r>
  <r>
    <s v="COGECOM"/>
    <n v="29219958"/>
    <s v="HELDER EVANDRO ROCHA BRITO"/>
    <s v="OUT"/>
    <s v="OUTROS"/>
    <n v="28836772803"/>
    <x v="1"/>
    <s v="0.00"/>
    <s v="308.26"/>
    <n v="62"/>
    <s v="EM NEGOCIAÇÃO"/>
    <s v="NEGOCIAÇÃO VIA WHATSAPP"/>
    <n v="43"/>
    <x v="37"/>
    <s v="17.15"/>
    <s v="roberto"/>
    <s v="61 a 90"/>
    <s v="CPC"/>
    <x v="2"/>
  </r>
  <r>
    <s v="COGECOM"/>
    <n v="1390104919"/>
    <s v="SEBASTIANA SILVA DE OLIVEIRA"/>
    <s v="OUT"/>
    <s v="OUTROS"/>
    <n v="2353152147"/>
    <x v="1"/>
    <s v="0.00"/>
    <s v="144.07"/>
    <n v="53"/>
    <s v="EM NEGOCIAÇÃO"/>
    <s v="NEGOCIAÇÃO VIA WHATSAPP"/>
    <n v="43"/>
    <x v="37"/>
    <s v="11.08"/>
    <s v="anakeppe"/>
    <s v="31 a 60"/>
    <s v="CPC"/>
    <x v="2"/>
  </r>
  <r>
    <s v="COGECOM"/>
    <n v="10028629262"/>
    <s v="MARLENE JOSE DE ALMEIDA"/>
    <s v="OUT"/>
    <s v="OUTROS"/>
    <n v="85667897172"/>
    <x v="1"/>
    <s v="199.97"/>
    <s v="179.76"/>
    <n v="53"/>
    <s v="EM NEGOCIAÇÃO"/>
    <s v="GERAÇÃO DE ACORDO"/>
    <n v="43"/>
    <x v="37"/>
    <s v="14.39"/>
    <s v="anakeppe"/>
    <s v="31 a 60"/>
    <s v="CPC"/>
    <x v="2"/>
  </r>
  <r>
    <s v="COGECOM"/>
    <n v="10035607716"/>
    <s v="JAREDE SOARES NEVES"/>
    <s v="OUT"/>
    <s v="OUTROS"/>
    <n v="4363341190"/>
    <x v="1"/>
    <s v="0.00"/>
    <s v="115.66"/>
    <n v="53"/>
    <s v="EM NEGOCIAÇÃO"/>
    <s v="ESTORNO"/>
    <n v="44"/>
    <x v="37"/>
    <s v="14.39"/>
    <s v="luciano"/>
    <s v="31 a 60"/>
    <s v="ACIONAMENTO"/>
    <x v="2"/>
  </r>
  <r>
    <s v="COGECOM"/>
    <n v="10023837738"/>
    <s v="Laura Marques Goulart"/>
    <s v="OUT"/>
    <s v="OUTROS"/>
    <n v="43983197"/>
    <x v="1"/>
    <s v="0.00"/>
    <s v="134.16"/>
    <n v="53"/>
    <s v="EM NEGOCIAÇÃO"/>
    <s v="NEGOCIAÇÃO VIA WHATSAPP"/>
    <n v="43"/>
    <x v="37"/>
    <s v="10.44"/>
    <s v="anakeppe"/>
    <s v="31 a 60"/>
    <s v="CPC"/>
    <x v="2"/>
  </r>
  <r>
    <s v="COGECOM"/>
    <n v="10031154326"/>
    <s v="Marco Aurelio Rodrigues Batista"/>
    <s v="OUT"/>
    <s v="OUTROS"/>
    <n v="97293776187"/>
    <x v="1"/>
    <s v="256.22"/>
    <s v="230.65"/>
    <n v="53"/>
    <s v="EM NEGOCIAÇÃO"/>
    <s v="GERAÇÃO DE ACORDO"/>
    <n v="43"/>
    <x v="37"/>
    <s v="16.28"/>
    <s v="anakeppe"/>
    <s v="31 a 60"/>
    <s v="CPC"/>
    <x v="2"/>
  </r>
  <r>
    <s v="COGECOM"/>
    <n v="3080825104"/>
    <s v="Romeu Reny Ritter"/>
    <s v="OUT"/>
    <s v="OUTROS"/>
    <n v="2562901053"/>
    <x v="1"/>
    <s v="0.00"/>
    <s v="113.88"/>
    <n v="53"/>
    <s v="EM NEGOCIAÇÃO"/>
    <s v="ESTORNO"/>
    <n v="44"/>
    <x v="37"/>
    <s v="14.40"/>
    <s v="luciano"/>
    <s v="31 a 60"/>
    <s v="ACIONAMENTO"/>
    <x v="2"/>
  </r>
  <r>
    <s v="COGECOM"/>
    <n v="3798291"/>
    <s v="DOUGLAS EMILIO SCHVAB"/>
    <s v="OUT"/>
    <s v="OUTROS"/>
    <n v="8620274970"/>
    <x v="1"/>
    <s v="0.00"/>
    <s v="140.72"/>
    <n v="53"/>
    <s v="EM NEGOCIAÇÃO"/>
    <s v="ESTORNO"/>
    <n v="43"/>
    <x v="37"/>
    <s v="13.23"/>
    <s v="anakeppe"/>
    <s v="31 a 60"/>
    <s v="ACIONAMENTO"/>
    <x v="2"/>
  </r>
  <r>
    <s v="COGECOM"/>
    <n v="20375018"/>
    <s v="Fernando Cesar Martini"/>
    <s v="OUT"/>
    <s v="OUTROS"/>
    <n v="2325568903"/>
    <x v="1"/>
    <s v="0.00"/>
    <s v="236.14"/>
    <n v="53"/>
    <s v="EM NEGOCIAÇÃO"/>
    <s v="NEGOCIAÇÃO VIA WHATSAPP"/>
    <n v="43"/>
    <x v="37"/>
    <s v="16.24"/>
    <s v="anakeppe"/>
    <s v="31 a 60"/>
    <s v="CPC"/>
    <x v="2"/>
  </r>
  <r>
    <s v="COGECOM"/>
    <n v="98674200"/>
    <s v="MARLON FABIO MILCHEUSKY"/>
    <s v="OUT"/>
    <s v="OUTROS"/>
    <n v="3136097998"/>
    <x v="1"/>
    <s v="173.06"/>
    <s v="155.05"/>
    <n v="53"/>
    <s v="EM NEGOCIAÇÃO"/>
    <s v="GERAÇÃO DE ACORDO"/>
    <n v="43"/>
    <x v="37"/>
    <s v="11.44"/>
    <s v="anakeppe"/>
    <s v="31 a 60"/>
    <s v="CPC"/>
    <x v="2"/>
  </r>
  <r>
    <s v="COGECOM"/>
    <n v="3011236853"/>
    <s v="Nayara Gabriele Silva Gomes"/>
    <s v="OUT"/>
    <s v="OUTROS"/>
    <n v="8712241601"/>
    <x v="1"/>
    <s v="0.00"/>
    <s v="167.95"/>
    <n v="53"/>
    <s v="EM NEGOCIAÇÃO"/>
    <s v="NEGOCIAÇÃO VIA WHATSAPP"/>
    <n v="43"/>
    <x v="37"/>
    <s v="12.12"/>
    <s v="anakeppe"/>
    <s v="31 a 60"/>
    <s v="CPC"/>
    <x v="2"/>
  </r>
  <r>
    <s v="COGECOM"/>
    <n v="32161669"/>
    <s v="FABIO LUCIANO HANKE SIMOES"/>
    <s v="OUT"/>
    <s v="OUTROS"/>
    <n v="90175000930"/>
    <x v="1"/>
    <s v="0.00"/>
    <s v="269.79"/>
    <n v="200"/>
    <s v="EM NEGOCIAÇÃO"/>
    <s v="ESTORNO"/>
    <n v="47"/>
    <x v="38"/>
    <s v="13.32"/>
    <s v="luciano"/>
    <s v="181 a 360"/>
    <s v="ACIONAMENTO"/>
    <x v="2"/>
  </r>
  <r>
    <s v="COGECOM"/>
    <n v="46956184"/>
    <s v="Maria Elis Nunc-Nfooro"/>
    <s v="OUT"/>
    <s v="OUTROS"/>
    <n v="4065761905"/>
    <x v="1"/>
    <s v="0.00"/>
    <s v="173.88"/>
    <n v="162"/>
    <s v="EM NEGOCIAÇÃO"/>
    <s v="ALTERACAO DEBITO"/>
    <n v="47"/>
    <x v="38"/>
    <s v="9.56"/>
    <s v="elizabel"/>
    <s v="91 a 180"/>
    <s v="ACIONAMENTO"/>
    <x v="2"/>
  </r>
  <r>
    <s v="COGECOM"/>
    <n v="10032288563"/>
    <s v="PAULINA ANA DOS REIS NETA"/>
    <s v="OUT"/>
    <s v="OUTROS"/>
    <n v="1292580160"/>
    <x v="1"/>
    <s v="0.00"/>
    <s v="30.76"/>
    <n v="198"/>
    <s v="EM NEGOCIAÇÃO"/>
    <s v="NEGOCIAÇÃO VIA WHATSAPP"/>
    <n v="44"/>
    <x v="38"/>
    <s v="11.09"/>
    <s v="anakeppe"/>
    <s v="181 a 360"/>
    <s v="CPC"/>
    <x v="2"/>
  </r>
  <r>
    <s v="COGECOM"/>
    <n v="25447980"/>
    <s v="Primeiro Mundo Agentes De Viagens Ltda"/>
    <s v="OUT"/>
    <s v="OUTROS"/>
    <n v="81015158000137"/>
    <x v="1"/>
    <s v="0.00"/>
    <s v="922.80"/>
    <n v="196"/>
    <s v="EM NEGOCIAÇÃO"/>
    <s v="NEGOCIAÇÃO VIA WHATSAPP"/>
    <n v="44"/>
    <x v="38"/>
    <s v="9.16"/>
    <s v="anakeppe"/>
    <s v="181 a 360"/>
    <s v="CPC"/>
    <x v="2"/>
  </r>
  <r>
    <s v="COGECOM"/>
    <n v="96684470"/>
    <s v="RODRIGO REZENDE DA GAMA"/>
    <s v="OUT"/>
    <s v="OUTROS"/>
    <n v="940422921"/>
    <x v="1"/>
    <s v="56.22"/>
    <s v="50.45"/>
    <n v="224"/>
    <m/>
    <s v="GERAÇÃO DE ACORDO"/>
    <n v="9999"/>
    <x v="38"/>
    <s v="13.33"/>
    <s v="anakeppe"/>
    <s v="181 a 360"/>
    <s v="CPC"/>
    <x v="4"/>
  </r>
  <r>
    <s v="COGECOM"/>
    <n v="78572673"/>
    <s v="INTERSEPT TERCEIRIZACAO DE SERVICOS LTDA"/>
    <s v="OUT"/>
    <s v="OUTROS"/>
    <n v="3360551000154"/>
    <x v="1"/>
    <s v="121.33"/>
    <s v="121.33"/>
    <n v="154"/>
    <s v="EM NEGOCIAÇÃO"/>
    <s v="ESTORNO"/>
    <n v="47"/>
    <x v="38"/>
    <s v="13.38"/>
    <s v="luciano"/>
    <s v="91 a 180"/>
    <s v="ACIONAMENTO"/>
    <x v="2"/>
  </r>
  <r>
    <s v="COGECOM"/>
    <n v="21142492"/>
    <s v="ANA CLAUDIA BACK"/>
    <s v="OUT"/>
    <s v="OUTROS"/>
    <n v="5989891962"/>
    <x v="0"/>
    <s v="1951.14"/>
    <s v="961.73"/>
    <n v="66"/>
    <m/>
    <s v="GERAÇÃO DE ACORDO"/>
    <n v="9999"/>
    <x v="38"/>
    <s v="16.09"/>
    <s v="rafael"/>
    <s v="61 a 90"/>
    <s v="CPC"/>
    <x v="4"/>
  </r>
  <r>
    <s v="COGECOM"/>
    <n v="27758568"/>
    <s v="Andre Luis dos Santos"/>
    <s v="OUT"/>
    <s v="OUTROS"/>
    <n v="60840374020"/>
    <x v="1"/>
    <s v="0.00"/>
    <s v="22.61"/>
    <n v="73"/>
    <s v="EM NEGOCIAÇÃO"/>
    <s v="ALTERACAO DEBITO"/>
    <n v="48"/>
    <x v="38"/>
    <s v="10.16"/>
    <s v="elizabel"/>
    <s v="61 a 90"/>
    <s v="ACIONAMENTO"/>
    <x v="2"/>
  </r>
  <r>
    <s v="COGECOM"/>
    <n v="98887033"/>
    <s v="LUIZ CARLOS BRANCO FLAMENGO"/>
    <s v="OUT"/>
    <s v="OUTROS"/>
    <n v="78466121900"/>
    <x v="1"/>
    <s v="0.00"/>
    <s v="16054.52"/>
    <n v="70"/>
    <s v="EM NEGOCIAÇÃO"/>
    <s v="NEGOCIAÇÃO VIA WHATSAPP"/>
    <n v="44"/>
    <x v="38"/>
    <s v="13.58"/>
    <s v="roberto"/>
    <s v="61 a 90"/>
    <s v="CPC"/>
    <x v="2"/>
  </r>
  <r>
    <s v="COGECOM"/>
    <n v="43628518"/>
    <s v="PAULO ROBERTO DOURADO"/>
    <s v="OUT"/>
    <s v="OUTROS"/>
    <n v="5272885945"/>
    <x v="1"/>
    <s v="0.00"/>
    <s v="237.12"/>
    <n v="66"/>
    <m/>
    <s v="ALTERACAO DEBITO"/>
    <n v="9999"/>
    <x v="38"/>
    <s v="10.02"/>
    <s v="elizabel"/>
    <s v="61 a 90"/>
    <s v="ACIONAMENTO"/>
    <x v="4"/>
  </r>
  <r>
    <s v="COGECOM"/>
    <n v="10006384682"/>
    <s v="HEBER ALVES DA SILVA"/>
    <s v="OUT"/>
    <s v="OUTROS"/>
    <n v="64832414100"/>
    <x v="1"/>
    <s v="0.00"/>
    <s v="114.33"/>
    <n v="53"/>
    <s v="EM NEGOCIAÇÃO"/>
    <s v="NEGOCIAÇÃO VIA WHATSAPP"/>
    <n v="44"/>
    <x v="38"/>
    <s v="15.16"/>
    <s v="anakeppe"/>
    <s v="31 a 60"/>
    <s v="CPC"/>
    <x v="2"/>
  </r>
  <r>
    <s v="COGECOM"/>
    <n v="10020494309"/>
    <s v="CLEITON GAMA DA COSTA"/>
    <s v="OUT"/>
    <s v="OUTROS"/>
    <n v="2908527146"/>
    <x v="1"/>
    <s v="0.00"/>
    <s v="121.60"/>
    <n v="53"/>
    <s v="EM NEGOCIAÇÃO"/>
    <s v="NEGOCIAÇÃO VIA WHATSAPP"/>
    <n v="44"/>
    <x v="38"/>
    <s v="15.25"/>
    <s v="anakeppe"/>
    <s v="31 a 60"/>
    <s v="CPC"/>
    <x v="2"/>
  </r>
  <r>
    <s v="COGECOM"/>
    <n v="85367486"/>
    <s v="LINCOLN DA  SILVA GRAVENA"/>
    <s v="OUT"/>
    <s v="OUTROS"/>
    <n v="4931680950"/>
    <x v="1"/>
    <s v="0.00"/>
    <s v="124.67"/>
    <n v="53"/>
    <s v="EM NEGOCIAÇÃO"/>
    <s v="NEGOCIAÇÃO VIA WHATSAPP"/>
    <n v="44"/>
    <x v="38"/>
    <s v="16.23"/>
    <s v="anakeppe"/>
    <s v="31 a 60"/>
    <s v="CPC"/>
    <x v="2"/>
  </r>
  <r>
    <s v="COGECOM"/>
    <n v="3012826075"/>
    <s v="JONATHAN LOPES DOS REIS"/>
    <s v="OUT"/>
    <s v="OUTROS"/>
    <n v="10479565600"/>
    <x v="1"/>
    <s v="0.00"/>
    <s v="94.84"/>
    <n v="53"/>
    <s v="EM NEGOCIAÇÃO"/>
    <s v="NEGOCIAÇÃO VIA WHATSAPP"/>
    <n v="44"/>
    <x v="38"/>
    <s v="14.14"/>
    <s v="anakeppe"/>
    <s v="31 a 60"/>
    <s v="CPC"/>
    <x v="2"/>
  </r>
  <r>
    <s v="COGECOM"/>
    <n v="3011444170"/>
    <s v="LUIZ HENRIQUE LEITE OLIVEIRA"/>
    <s v="OUT"/>
    <s v="OUTROS"/>
    <n v="8612948665"/>
    <x v="1"/>
    <s v="0.00"/>
    <s v="72.39"/>
    <n v="53"/>
    <s v="EM NEGOCIAÇÃO"/>
    <s v="NEGOCIAÇÃO VIA WHATSAPP"/>
    <n v="44"/>
    <x v="38"/>
    <s v="11.25"/>
    <s v="anakeppe"/>
    <s v="31 a 60"/>
    <s v="CPC"/>
    <x v="2"/>
  </r>
  <r>
    <s v="COGECOM"/>
    <n v="4000314734"/>
    <s v="WESLEY DIAS GARCIA LOURENCO"/>
    <s v="OUT"/>
    <s v="OUTROS"/>
    <n v="4332851684"/>
    <x v="1"/>
    <s v="0.00"/>
    <s v="54.02"/>
    <n v="53"/>
    <s v="EM NEGOCIAÇÃO"/>
    <s v="NEGOCIAÇÃO VIA WHATSAPP"/>
    <n v="44"/>
    <x v="38"/>
    <s v="11.11"/>
    <s v="anakeppe"/>
    <s v="31 a 60"/>
    <s v="CPC"/>
    <x v="2"/>
  </r>
  <r>
    <s v="COGECOM"/>
    <n v="90927664"/>
    <s v="LUIZ CARLOS BRANCO FLAMENGO"/>
    <s v="OUT"/>
    <s v="OUTROS"/>
    <n v="78466121900"/>
    <x v="1"/>
    <s v="0.00"/>
    <s v="776.06"/>
    <n v="76"/>
    <s v="EM NEGOCIAÇÃO"/>
    <s v="NEGOCIAÇÃO VIA WHATSAPP"/>
    <n v="51"/>
    <x v="38"/>
    <s v="13.58"/>
    <s v="roberto"/>
    <s v="61 a 90"/>
    <s v="CPC"/>
    <x v="2"/>
  </r>
  <r>
    <s v="COGECOM"/>
    <n v="15687892"/>
    <s v="NERCI VITOR DE LIMA"/>
    <s v="OUT"/>
    <s v="OUTROS"/>
    <n v="26226642149"/>
    <x v="1"/>
    <s v="166.83"/>
    <s v="153.82"/>
    <n v="211"/>
    <s v="ACORDO VIGENTE COLCHÃO EM ATRASO"/>
    <s v="GERAÇÃO DE ACORDO"/>
    <n v="47"/>
    <x v="39"/>
    <s v="14.35"/>
    <s v="anakeppe"/>
    <s v="181 a 360"/>
    <s v="CPC"/>
    <x v="2"/>
  </r>
  <r>
    <s v="COGECOM"/>
    <n v="100415695"/>
    <s v="RENATO SANTOS MARIA"/>
    <s v="OUT"/>
    <s v="OUTROS"/>
    <n v="16153773877"/>
    <x v="0"/>
    <s v="1519.04"/>
    <s v="288.27"/>
    <n v="228"/>
    <s v="EM NEGOCIAÇÃO"/>
    <s v="GERAÇÃO DE ACORDO"/>
    <n v="47"/>
    <x v="39"/>
    <s v="13.08"/>
    <s v="anakeppe"/>
    <s v="181 a 360"/>
    <s v="CPC"/>
    <x v="2"/>
  </r>
  <r>
    <s v="COGECOM"/>
    <n v="83342788"/>
    <s v="Sandro Rafael Barioni de Matos"/>
    <s v="OUT"/>
    <s v="OUTROS"/>
    <n v="2993871943"/>
    <x v="1"/>
    <s v="0.00"/>
    <s v="63.04"/>
    <n v="616"/>
    <s v="SEM INTERESSE"/>
    <s v="SEM INTERESSE"/>
    <n v="47"/>
    <x v="39"/>
    <s v="14.27"/>
    <s v="rafael"/>
    <s v="Acima de 361"/>
    <s v="CPC"/>
    <x v="1"/>
  </r>
  <r>
    <s v="COGECOM"/>
    <n v="3092709585"/>
    <s v="FLAVIO LUIS DE CAMPOS"/>
    <s v="OUT"/>
    <s v="OUTROS"/>
    <n v="35702532015"/>
    <x v="1"/>
    <s v="0.00"/>
    <s v="382.13"/>
    <n v="81"/>
    <s v="EM NEGOCIAÇÃO"/>
    <s v="NEGOCIAÇÃO VIA WHATSAPP"/>
    <n v="47"/>
    <x v="39"/>
    <s v="15.08"/>
    <s v="anne"/>
    <s v="61 a 90"/>
    <s v="CPC"/>
    <x v="2"/>
  </r>
  <r>
    <s v="COGECOM"/>
    <n v="8655910"/>
    <s v="Carlos Santa Kich"/>
    <s v="OUT"/>
    <s v="OUTROS"/>
    <n v="3054049973"/>
    <x v="1"/>
    <s v="0.00"/>
    <s v="194.11"/>
    <n v="66"/>
    <s v="SEM INTERESSE"/>
    <s v="SEM INTERESSE"/>
    <n v="47"/>
    <x v="39"/>
    <s v="15.08"/>
    <s v="adrimpra"/>
    <s v="61 a 90"/>
    <s v="CPC"/>
    <x v="1"/>
  </r>
  <r>
    <s v="COGECOM"/>
    <n v="93875770"/>
    <s v="Condomínio Paysage Las Palmas"/>
    <s v="OUT"/>
    <s v="OUTROS"/>
    <n v="13777924000140"/>
    <x v="1"/>
    <s v="0.00"/>
    <s v="285.21"/>
    <n v="63"/>
    <s v="EM NEGOCIAÇÃO"/>
    <s v="NEGOCIAÇÃO VIA WHATSAPP"/>
    <n v="47"/>
    <x v="39"/>
    <s v="11.42"/>
    <s v="roberto"/>
    <s v="61 a 90"/>
    <s v="CPC"/>
    <x v="2"/>
  </r>
  <r>
    <s v="COGECOM"/>
    <n v="1806521"/>
    <s v="ARNALDO FREDERICO DUMKE"/>
    <s v="OUT"/>
    <s v="OUTROS"/>
    <n v="24864315949"/>
    <x v="1"/>
    <s v="0.00"/>
    <s v="1637.66"/>
    <n v="62"/>
    <s v="EM NEGOCIAÇÃO"/>
    <s v="NEGOCIAÇÃO VIA WHATSAPP"/>
    <n v="47"/>
    <x v="39"/>
    <s v="9.26"/>
    <s v="roberto"/>
    <s v="61 a 90"/>
    <s v="CPC"/>
    <x v="2"/>
  </r>
  <r>
    <s v="COGECOM"/>
    <n v="11329799"/>
    <s v="ARIZON DOS SANTOS JUNIOR"/>
    <s v="OUT"/>
    <s v="OUTROS"/>
    <n v="77059468900"/>
    <x v="1"/>
    <s v="0.00"/>
    <s v="788.57"/>
    <n v="62"/>
    <s v="EM NEGOCIAÇÃO"/>
    <s v="NEGOCIAÇÃO VIA WHATSAPP"/>
    <n v="47"/>
    <x v="39"/>
    <s v="10.47"/>
    <s v="roberto"/>
    <s v="61 a 90"/>
    <s v="CPC"/>
    <x v="2"/>
  </r>
  <r>
    <s v="COGECOM"/>
    <n v="3913120"/>
    <s v="V.N COZINHA EXPERIMENTAL LTDA ME"/>
    <s v="OUT"/>
    <s v="OUTROS"/>
    <n v="6330691000178"/>
    <x v="1"/>
    <s v="0.00"/>
    <s v="1589.83"/>
    <n v="62"/>
    <s v="EM NEGOCIAÇÃO"/>
    <s v="NEGOCIAÇÃO VIA WHATSAPP"/>
    <n v="47"/>
    <x v="39"/>
    <s v="9.27"/>
    <s v="roberto"/>
    <s v="61 a 90"/>
    <s v="CPC"/>
    <x v="2"/>
  </r>
  <r>
    <s v="COGECOM"/>
    <n v="46104935"/>
    <s v="PG RESTAURANTE LTDA"/>
    <s v="OUT"/>
    <s v="OUTROS"/>
    <n v="24548025000192"/>
    <x v="1"/>
    <s v="0.00"/>
    <s v="1895.90"/>
    <n v="62"/>
    <s v="EM NEGOCIAÇÃO"/>
    <s v="NEGOCIAÇÃO VIA WHATSAPP"/>
    <n v="47"/>
    <x v="39"/>
    <s v="11.58"/>
    <s v="roberto"/>
    <s v="61 a 90"/>
    <s v="CPC"/>
    <x v="2"/>
  </r>
  <r>
    <s v="COGECOM"/>
    <n v="52442109"/>
    <s v="MARLON ZAMBIAZZI AZEVEDO 07487190919 C"/>
    <s v="OUT"/>
    <s v="OUTROS"/>
    <n v="38581360000105"/>
    <x v="1"/>
    <s v="0.00"/>
    <s v="1499.40"/>
    <n v="62"/>
    <s v="EM NEGOCIAÇÃO"/>
    <s v="NEGOCIAÇÃO VIA WHATSAPP"/>
    <n v="47"/>
    <x v="39"/>
    <s v="9.32"/>
    <s v="roberto"/>
    <s v="61 a 90"/>
    <s v="CPC"/>
    <x v="2"/>
  </r>
  <r>
    <s v="COGECOM"/>
    <n v="9681060"/>
    <s v="ANDREIA STRAPASSOLA"/>
    <s v="OUT"/>
    <s v="OUTROS"/>
    <n v="7201263986"/>
    <x v="1"/>
    <s v="0.00"/>
    <s v="524.26"/>
    <n v="378"/>
    <s v="EM NEGOCIAÇÃO"/>
    <s v="NEGOCIAÇÃO VIA WHATSAPP"/>
    <n v="48"/>
    <x v="40"/>
    <s v="10.28"/>
    <s v="prihein"/>
    <s v="Acima de 361"/>
    <s v="CPC"/>
    <x v="2"/>
  </r>
  <r>
    <s v="COGECOM"/>
    <n v="5321077"/>
    <s v="DAISY TEREZINHA GILLI PEREIRA BOLEMAN"/>
    <s v="OUT"/>
    <s v="OUTROS"/>
    <n v="17958253087"/>
    <x v="1"/>
    <s v="575.54"/>
    <s v="368.78"/>
    <n v="275"/>
    <s v="EM NEGOCIAÇÃO"/>
    <s v="NEGOCIAÇÃO VIA WHATSAPP"/>
    <n v="48"/>
    <x v="40"/>
    <s v="14.43"/>
    <s v="prihein"/>
    <s v="181 a 360"/>
    <s v="CPC"/>
    <x v="2"/>
  </r>
  <r>
    <s v="COGECOM"/>
    <n v="54905564"/>
    <s v="Patricia Cilene da Silveira"/>
    <s v="OUT"/>
    <s v="OUTROS"/>
    <n v="1639867970"/>
    <x v="1"/>
    <s v="0.00"/>
    <s v="340.38"/>
    <n v="151"/>
    <s v="EM NEGOCIAÇÃO"/>
    <s v="NEGOCIAÇÃO VIA WHATSAPP"/>
    <n v="48"/>
    <x v="40"/>
    <s v="11.37"/>
    <s v="prihein"/>
    <s v="91 a 180"/>
    <s v="CPC"/>
    <x v="2"/>
  </r>
  <r>
    <s v="COGECOM"/>
    <n v="3085755204"/>
    <s v="William Luz Da Silva"/>
    <s v="OUT"/>
    <s v="OUTROS"/>
    <n v="96202203072"/>
    <x v="1"/>
    <s v="0.00"/>
    <s v="210.37"/>
    <n v="394"/>
    <s v="EM NEGOCIAÇÃO"/>
    <s v="ALTERACAO DEBITO"/>
    <n v="49"/>
    <x v="40"/>
    <s v="16.17"/>
    <s v="elizabel"/>
    <s v="Acima de 361"/>
    <s v="ACIONAMENTO"/>
    <x v="2"/>
  </r>
  <r>
    <s v="COGECOM"/>
    <n v="97835927"/>
    <s v="Fabiano Antonio Da Silveira"/>
    <s v="OUT"/>
    <s v="OUTROS"/>
    <n v="2705934979"/>
    <x v="1"/>
    <s v="0.00"/>
    <s v="123.82"/>
    <n v="155"/>
    <s v="EM NEGOCIAÇÃO"/>
    <s v="ESTORNO"/>
    <n v="50"/>
    <x v="40"/>
    <s v="16.35"/>
    <s v="luciano"/>
    <s v="91 a 180"/>
    <s v="ACIONAMENTO"/>
    <x v="2"/>
  </r>
  <r>
    <s v="COGECOM"/>
    <n v="3012239680"/>
    <s v="JENNIFER SILVA CARDOZO DE OLIVEIRA"/>
    <s v="OUT"/>
    <s v="OUTROS"/>
    <n v="6837168673"/>
    <x v="1"/>
    <s v="358.01"/>
    <s v="121.48"/>
    <n v="149"/>
    <m/>
    <s v="GERAÇÃO DE ACORDO"/>
    <n v="9999"/>
    <x v="40"/>
    <s v="14.09"/>
    <s v="rafael"/>
    <s v="91 a 180"/>
    <s v="CPC"/>
    <x v="4"/>
  </r>
  <r>
    <s v="COGECOM"/>
    <n v="107241064"/>
    <s v="ZILDETE BIAZOTO BORGES"/>
    <s v="OUT"/>
    <s v="OUTROS"/>
    <n v="82279063972"/>
    <x v="1"/>
    <s v="0.00"/>
    <s v="262.73"/>
    <n v="122"/>
    <s v="NÃO LOCALIZADO"/>
    <s v="TELEFONES SEM ATENDIMENTO"/>
    <n v="48"/>
    <x v="40"/>
    <s v="13.36"/>
    <s v="anne"/>
    <s v="91 a 180"/>
    <s v="ACIONAMENTO"/>
    <x v="0"/>
  </r>
  <r>
    <s v="COGECOM"/>
    <n v="3003564979"/>
    <s v="CARLOS ALEXANDRE TADEU CONSIGLIERO"/>
    <s v="OUT"/>
    <s v="OUTROS"/>
    <n v="78559359753"/>
    <x v="1"/>
    <s v="0.00"/>
    <s v="136.39"/>
    <n v="73"/>
    <s v="EM NEGOCIAÇÃO"/>
    <s v="NEGOCIAÇÃO VIA WHATSAPP"/>
    <n v="48"/>
    <x v="40"/>
    <s v="10.13"/>
    <s v="roberto"/>
    <s v="61 a 90"/>
    <s v="CPC"/>
    <x v="2"/>
  </r>
  <r>
    <s v="COGECOM"/>
    <n v="10008344017"/>
    <s v="JACQUELINE SILVA MARTINS"/>
    <s v="OUT"/>
    <s v="OUTROS"/>
    <n v="73923826168"/>
    <x v="1"/>
    <s v="0.00"/>
    <s v="163.24"/>
    <n v="65"/>
    <m/>
    <s v="ALTERACAO DEBITO"/>
    <n v="9999"/>
    <x v="40"/>
    <s v="16.07"/>
    <s v="elizabel"/>
    <s v="61 a 90"/>
    <s v="ACIONAMENTO"/>
    <x v="4"/>
  </r>
  <r>
    <s v="COGECOM"/>
    <n v="3002197114"/>
    <s v="Juliana Charline Barroso C de Araújo"/>
    <s v="OUT"/>
    <s v="OUTROS"/>
    <n v="5142977602"/>
    <x v="1"/>
    <s v="0.00"/>
    <s v="86.86"/>
    <n v="68"/>
    <m/>
    <s v="ALTERACAO DEBITO"/>
    <n v="9999"/>
    <x v="40"/>
    <s v="16.20"/>
    <s v="elizabel"/>
    <s v="61 a 90"/>
    <s v="ACIONAMENTO"/>
    <x v="4"/>
  </r>
  <r>
    <s v="COGECOM"/>
    <n v="41819642"/>
    <s v="JULIANA DE OLIVEIRA"/>
    <s v="OUT"/>
    <s v="OUTROS"/>
    <n v="994914946"/>
    <x v="1"/>
    <s v="0.00"/>
    <s v="138.97"/>
    <n v="62"/>
    <s v="EM NEGOCIAÇÃO"/>
    <s v="NEGOCIAÇÃO VIA WHATSAPP"/>
    <n v="48"/>
    <x v="40"/>
    <s v="17.02"/>
    <s v="anne"/>
    <s v="61 a 90"/>
    <s v="CPC"/>
    <x v="2"/>
  </r>
  <r>
    <s v="COGECOM"/>
    <n v="3085552046"/>
    <s v="Nivia Rocha Silveira"/>
    <s v="OUT"/>
    <s v="OUTROS"/>
    <n v="74784102000"/>
    <x v="1"/>
    <s v="0.00"/>
    <s v="50.66"/>
    <n v="332"/>
    <s v="EM NEGOCIAÇÃO"/>
    <s v="ALTERACAO DEBITO"/>
    <n v="51"/>
    <x v="41"/>
    <s v="16.22"/>
    <s v="elizabel"/>
    <s v="181 a 360"/>
    <s v="ACIONAMENTO"/>
    <x v="2"/>
  </r>
  <r>
    <s v="COGECOM"/>
    <n v="10010257614"/>
    <s v="DENISLEY ABREU FARIAS"/>
    <s v="OUT"/>
    <s v="OUTROS"/>
    <n v="59111178"/>
    <x v="1"/>
    <s v="0.00"/>
    <s v="21.63"/>
    <n v="172"/>
    <s v="EM NEGOCIAÇÃO"/>
    <s v="NEGOCIAÇÃO VIA WHATSAPP"/>
    <n v="49"/>
    <x v="41"/>
    <s v="17.09"/>
    <s v="prihein"/>
    <s v="91 a 180"/>
    <s v="CPC"/>
    <x v="2"/>
  </r>
  <r>
    <s v="COGECOM"/>
    <n v="200084513"/>
    <s v="LUCELIA PEREIRA DO NASCIMENTO"/>
    <s v="OUT"/>
    <s v="OUTROS"/>
    <n v="92054013153"/>
    <x v="1"/>
    <s v="0.00"/>
    <s v="134.85"/>
    <n v="199"/>
    <s v="SEM INTERESSE"/>
    <s v="ALTERACAO DEBITO"/>
    <n v="51"/>
    <x v="41"/>
    <s v="16.49"/>
    <s v="elizabel"/>
    <s v="181 a 360"/>
    <s v="ACIONAMENTO"/>
    <x v="1"/>
  </r>
  <r>
    <s v="COGECOM"/>
    <n v="58952969"/>
    <s v="Sonia Maria Pereira Teixeira"/>
    <s v="OUT"/>
    <s v="OUTROS"/>
    <n v="78661293987"/>
    <x v="1"/>
    <s v="0.00"/>
    <s v="99.24"/>
    <n v="557"/>
    <m/>
    <s v="ALTERACAO DEBITO"/>
    <n v="9999"/>
    <x v="41"/>
    <s v="16.56"/>
    <s v="elizabel"/>
    <s v="Acima de 361"/>
    <s v="ACIONAMENTO"/>
    <x v="4"/>
  </r>
  <r>
    <s v="COGECOM"/>
    <n v="109990986"/>
    <s v="Welder Gomes"/>
    <s v="OUT"/>
    <s v="OUTROS"/>
    <n v="1029723974"/>
    <x v="1"/>
    <s v="0.00"/>
    <s v="19.24"/>
    <n v="272"/>
    <s v="EM NEGOCIAÇÃO"/>
    <s v="ALTERACAO DEBITO"/>
    <n v="50"/>
    <x v="41"/>
    <s v="16.53"/>
    <s v="elizabel"/>
    <s v="181 a 360"/>
    <s v="ACIONAMENTO"/>
    <x v="2"/>
  </r>
  <r>
    <s v="COGECOM"/>
    <n v="3013494562"/>
    <s v="THANGISLA GONCALVES DE SOUZA"/>
    <s v="OUT"/>
    <s v="OUTROS"/>
    <n v="7756599675"/>
    <x v="1"/>
    <s v="0.00"/>
    <s v="93.88"/>
    <n v="190"/>
    <s v="EM NEGOCIAÇÃO"/>
    <s v="ALTERACAO DEBITO"/>
    <n v="50"/>
    <x v="41"/>
    <s v="16.49"/>
    <s v="elizabel"/>
    <s v="181 a 360"/>
    <s v="ACIONAMENTO"/>
    <x v="2"/>
  </r>
  <r>
    <s v="COGECOM"/>
    <n v="52918405"/>
    <s v="ALINE MULLER FIALKOWSKI"/>
    <s v="OUT"/>
    <s v="OUTROS"/>
    <n v="4930887925"/>
    <x v="1"/>
    <s v="0.00"/>
    <s v="135.66"/>
    <n v="71"/>
    <s v="EM NEGOCIAÇÃO"/>
    <s v="NEGOCIAÇÃO VIA WHATSAPP"/>
    <n v="9999"/>
    <x v="41"/>
    <s v="16.42"/>
    <s v="luciano"/>
    <s v="61 a 90"/>
    <s v="CPC"/>
    <x v="2"/>
  </r>
  <r>
    <s v="COGECOM"/>
    <n v="87997460"/>
    <s v="EDIFÍCIO ARQUITETO JÚLIO RIBEIRO"/>
    <s v="OUT"/>
    <s v="OUTROS"/>
    <n v="12417764000166"/>
    <x v="1"/>
    <s v="0.00"/>
    <s v="6253.34"/>
    <n v="69"/>
    <s v="EM NEGOCIAÇÃO"/>
    <s v="ALTERACAO DEBITO"/>
    <n v="50"/>
    <x v="41"/>
    <s v="15.01"/>
    <s v="luciano"/>
    <s v="61 a 90"/>
    <s v="ACIONAMENTO"/>
    <x v="2"/>
  </r>
  <r>
    <s v="COGECOM"/>
    <n v="3095680759"/>
    <s v="Adilar Sitta"/>
    <s v="OUT"/>
    <s v="OUTROS"/>
    <n v="1546556001"/>
    <x v="1"/>
    <s v="0.00"/>
    <s v="149.23"/>
    <n v="212"/>
    <s v="EM NEGOCIAÇÃO"/>
    <s v="NEGOCIAÇÃO VIA WHATSAPP"/>
    <n v="50"/>
    <x v="42"/>
    <s v="13.54"/>
    <s v="anne"/>
    <s v="181 a 360"/>
    <s v="CPC"/>
    <x v="2"/>
  </r>
  <r>
    <s v="COGECOM"/>
    <n v="10009034003"/>
    <s v="BRUNO RODRIGUES DE OLIVEIRA"/>
    <s v="OUT"/>
    <s v="OUTROS"/>
    <n v="1483989100"/>
    <x v="1"/>
    <s v="0.00"/>
    <s v="46.15"/>
    <n v="226"/>
    <s v="SEM INTERESSE"/>
    <s v="NEGOCIAÇÃO VIA TELEFONE"/>
    <n v="50"/>
    <x v="42"/>
    <s v="14.10"/>
    <s v="anne"/>
    <s v="181 a 360"/>
    <s v="CPC"/>
    <x v="1"/>
  </r>
  <r>
    <s v="COGECOM"/>
    <n v="56410384"/>
    <s v="HELVECIO SANTOS JUNIOR"/>
    <s v="OUT"/>
    <s v="OUTROS"/>
    <n v="3344567977"/>
    <x v="0"/>
    <s v="1324.30"/>
    <s v="358.47"/>
    <n v="195"/>
    <s v="SEM CONDIÇÕES"/>
    <s v="GERAÇÃO DE ACORDO"/>
    <n v="58"/>
    <x v="42"/>
    <s v="11.03"/>
    <s v="cassia.a"/>
    <s v="181 a 360"/>
    <s v="CPC"/>
    <x v="3"/>
  </r>
  <r>
    <s v="COGECOM"/>
    <n v="10012228816"/>
    <s v="KAIENA FERREIRA RIBEIRO JORGE"/>
    <s v="OUT"/>
    <s v="OUTROS"/>
    <n v="3394351196"/>
    <x v="1"/>
    <s v="227.59"/>
    <s v="97.72"/>
    <n v="214"/>
    <s v="EM NEGOCIAÇÃO"/>
    <s v="NEGOCIAÇÃO VIA WHATSAPP"/>
    <n v="50"/>
    <x v="42"/>
    <s v="14.42"/>
    <s v="anne"/>
    <s v="181 a 360"/>
    <s v="CPC"/>
    <x v="2"/>
  </r>
  <r>
    <s v="COGECOM"/>
    <n v="10031873420"/>
    <s v="PAULO DE TARSO VASCONCELOS CARRILHO"/>
    <s v="OUT"/>
    <s v="OUTROS"/>
    <n v="6630278291"/>
    <x v="1"/>
    <s v="0.00"/>
    <s v="235.98"/>
    <n v="168"/>
    <s v="NÃO LOCALIZADO"/>
    <s v="TELEFONES SEM ATENDIMENTO"/>
    <n v="50"/>
    <x v="42"/>
    <s v="14.46"/>
    <s v="anne"/>
    <s v="91 a 180"/>
    <s v="ACIONAMENTO"/>
    <x v="0"/>
  </r>
  <r>
    <s v="COGECOM"/>
    <n v="25647831"/>
    <s v="PAULO ROBERTO CAVAGNOLI"/>
    <s v="OUT"/>
    <s v="OUTROS"/>
    <n v="52621065953"/>
    <x v="1"/>
    <s v="0.00"/>
    <s v="422.42"/>
    <n v="139"/>
    <s v="SEM INTERESSE"/>
    <s v="SEM INTERESSE"/>
    <n v="50"/>
    <x v="42"/>
    <s v="14.38"/>
    <s v="anne"/>
    <s v="91 a 180"/>
    <s v="CPC"/>
    <x v="1"/>
  </r>
  <r>
    <s v="COGECOM"/>
    <n v="10023575997"/>
    <s v="Alex Teixeira de Sousa"/>
    <s v="OUT"/>
    <s v="OUTROS"/>
    <n v="1888298146"/>
    <x v="1"/>
    <s v="0.00"/>
    <s v="61.47"/>
    <n v="135"/>
    <s v="SEM INTERESSE"/>
    <s v="SEM INTERESSE"/>
    <n v="50"/>
    <x v="42"/>
    <s v="14.36"/>
    <s v="anne"/>
    <s v="91 a 180"/>
    <s v="CPC"/>
    <x v="1"/>
  </r>
  <r>
    <s v="COGECOM"/>
    <n v="84587032"/>
    <s v="ERIBERTO ANSELMO KAGHOFER"/>
    <s v="OUT"/>
    <s v="OUTROS"/>
    <n v="36820580959"/>
    <x v="1"/>
    <s v="165.50"/>
    <s v="150.45"/>
    <n v="86"/>
    <s v="EM NEGOCIAÇÃO"/>
    <s v="NEGOCIAÇÃO VIA TELEFONE"/>
    <n v="50"/>
    <x v="42"/>
    <s v="14.25"/>
    <s v="anne"/>
    <s v="61 a 90"/>
    <s v="CPC"/>
    <x v="2"/>
  </r>
  <r>
    <s v="COGECOM"/>
    <n v="54993528"/>
    <s v="Antonio Carlos Merenciano Filho"/>
    <s v="OUT"/>
    <s v="OUTROS"/>
    <n v="28607006843"/>
    <x v="1"/>
    <s v="0.00"/>
    <s v="116.91"/>
    <n v="66"/>
    <s v="EM NEGOCIAÇÃO"/>
    <s v="NEGOCIAÇÃO VIA TELEFONE"/>
    <n v="50"/>
    <x v="42"/>
    <s v="16.29"/>
    <s v="anne"/>
    <s v="61 a 90"/>
    <s v="CPC"/>
    <x v="2"/>
  </r>
  <r>
    <s v="COGECOM"/>
    <n v="15190389"/>
    <s v="ALBERTO ESTEVAO DA SILVA"/>
    <s v="OUT"/>
    <s v="OUTROS"/>
    <n v="14431947434"/>
    <x v="1"/>
    <s v="0.00"/>
    <s v="86.53"/>
    <n v="186"/>
    <s v="EM NEGOCIAÇÃO"/>
    <s v="NEGOCIAÇÃO VIA WHATSAPP"/>
    <n v="51"/>
    <x v="43"/>
    <s v="9.23"/>
    <s v="roberto"/>
    <s v="181 a 360"/>
    <s v="CPC"/>
    <x v="2"/>
  </r>
  <r>
    <s v="COGECOM"/>
    <n v="52883300"/>
    <s v="DARI ARAUJO TERCEIRO"/>
    <s v="OUT"/>
    <s v="OUTROS"/>
    <n v="419728996"/>
    <x v="1"/>
    <s v="0.00"/>
    <s v="227.11"/>
    <n v="214"/>
    <s v="EM NEGOCIAÇÃO"/>
    <s v="ALTERACAO DEBITO"/>
    <n v="55"/>
    <x v="43"/>
    <s v="11.21"/>
    <s v="elizabel"/>
    <s v="181 a 360"/>
    <s v="ACIONAMENTO"/>
    <x v="2"/>
  </r>
  <r>
    <s v="COGECOM"/>
    <n v="96802308"/>
    <s v="EDSON LUIZ RAMOS"/>
    <s v="OUT"/>
    <s v="OUTROS"/>
    <n v="4284363905"/>
    <x v="1"/>
    <s v="0.00"/>
    <s v="125.47"/>
    <n v="460"/>
    <s v="EM NEGOCIAÇÃO"/>
    <s v="ALTERACAO DEBITO"/>
    <n v="56"/>
    <x v="43"/>
    <s v="11.07"/>
    <s v="elizabel"/>
    <s v="Acima de 361"/>
    <s v="ACIONAMENTO"/>
    <x v="2"/>
  </r>
  <r>
    <s v="COGECOM"/>
    <n v="19100596"/>
    <s v="JULIA KATZER"/>
    <s v="OUT"/>
    <s v="OUTROS"/>
    <n v="10517074982"/>
    <x v="0"/>
    <s v="351.67"/>
    <s v="78.68"/>
    <n v="604"/>
    <s v="SEM INTERESSE"/>
    <s v="GERAÇÃO DE ACORDO"/>
    <n v="51"/>
    <x v="43"/>
    <s v="11.54"/>
    <s v="cassia.a"/>
    <s v="Acima de 361"/>
    <s v="CPC"/>
    <x v="1"/>
  </r>
  <r>
    <s v="COGECOM"/>
    <n v="3082519596"/>
    <s v="Tadeu Fransen"/>
    <s v="OUT"/>
    <s v="OUTROS"/>
    <n v="47477296072"/>
    <x v="1"/>
    <s v="0.00"/>
    <s v="102.85"/>
    <n v="392"/>
    <s v="EM NEGOCIAÇÃO"/>
    <s v="ALTERACAO DEBITO"/>
    <n v="55"/>
    <x v="43"/>
    <s v="11.05"/>
    <s v="elizabel"/>
    <s v="Acima de 361"/>
    <s v="ACIONAMENTO"/>
    <x v="2"/>
  </r>
  <r>
    <s v="COGECOM"/>
    <n v="91600197"/>
    <s v="ELTON DOS SANTOS BERNARDES"/>
    <s v="OUT"/>
    <s v="OUTROS"/>
    <n v="3658160942"/>
    <x v="1"/>
    <s v="0.00"/>
    <s v="100.99"/>
    <n v="125"/>
    <s v="EM NEGOCIAÇÃO"/>
    <s v="ALTERACAO DEBITO"/>
    <n v="56"/>
    <x v="43"/>
    <s v="11.31"/>
    <s v="elizabel"/>
    <s v="91 a 180"/>
    <s v="ACIONAMENTO"/>
    <x v="2"/>
  </r>
  <r>
    <s v="COGECOM"/>
    <n v="63432137"/>
    <s v="RADIO T FM LTDA EPP"/>
    <s v="OUT"/>
    <s v="OUTROS"/>
    <n v="7003552000100"/>
    <x v="1"/>
    <s v="0.00"/>
    <s v="634.92"/>
    <n v="88"/>
    <s v="EM NEGOCIAÇÃO"/>
    <s v="ALTERACAO DEBITO"/>
    <n v="55"/>
    <x v="43"/>
    <s v="11.17"/>
    <s v="elizabel"/>
    <s v="61 a 90"/>
    <s v="ACIONAMENTO"/>
    <x v="2"/>
  </r>
  <r>
    <s v="COGECOM"/>
    <n v="49913095"/>
    <s v="ADRIANA WAJAND"/>
    <s v="OUT"/>
    <s v="OUTROS"/>
    <n v="612451941"/>
    <x v="1"/>
    <s v="0.00"/>
    <s v="53.49"/>
    <n v="71"/>
    <m/>
    <s v="ALTERACAO DEBITO"/>
    <n v="9999"/>
    <x v="43"/>
    <s v="11.03"/>
    <s v="elizabel"/>
    <s v="61 a 90"/>
    <s v="ACIONAMENTO"/>
    <x v="4"/>
  </r>
  <r>
    <s v="COGECOM"/>
    <n v="48979483"/>
    <s v="CONDOMÍNIO RESIDENCIAL MARIAS"/>
    <s v="OUT"/>
    <s v="OUTROS"/>
    <n v="28182705000196"/>
    <x v="1"/>
    <s v="0.00"/>
    <s v="49.08"/>
    <n v="71"/>
    <s v="ACORDO VIGENTE COLCHÃO EM DIA"/>
    <s v="ALTERACAO DEBITO"/>
    <n v="55"/>
    <x v="43"/>
    <s v="11.01"/>
    <s v="elizabel"/>
    <s v="61 a 90"/>
    <s v="ACIONAMENTO"/>
    <x v="2"/>
  </r>
  <r>
    <s v="COGECOM"/>
    <n v="52777674"/>
    <s v="GABRIELA DAMIAN DA SILVA"/>
    <s v="OUT"/>
    <s v="OUTROS"/>
    <n v="4580236980"/>
    <x v="1"/>
    <s v="0.00"/>
    <s v="68.93"/>
    <n v="71"/>
    <s v="EM NEGOCIAÇÃO"/>
    <s v="ALTERACAO DEBITO"/>
    <n v="55"/>
    <x v="43"/>
    <s v="11.29"/>
    <s v="elizabel"/>
    <s v="61 a 90"/>
    <s v="ACIONAMENTO"/>
    <x v="2"/>
  </r>
  <r>
    <s v="COGECOM"/>
    <n v="7473028"/>
    <s v="INSTITUTO DO RIM DE MARINGÁ EIRELI"/>
    <s v="OUT"/>
    <s v="OUTROS"/>
    <n v="78189347000111"/>
    <x v="1"/>
    <s v="0.00"/>
    <s v="5424.02"/>
    <n v="66"/>
    <s v="EM NEGOCIAÇÃO"/>
    <s v="ALTERACAO DEBITO"/>
    <n v="55"/>
    <x v="43"/>
    <s v="11.19"/>
    <s v="elizabel"/>
    <s v="61 a 90"/>
    <s v="ACIONAMENTO"/>
    <x v="2"/>
  </r>
  <r>
    <s v="COGECOM"/>
    <n v="57551496"/>
    <s v="JULIANA ROCHA CARDOSO"/>
    <s v="OUT"/>
    <s v="OUTROS"/>
    <n v="11079760903"/>
    <x v="1"/>
    <s v="0.00"/>
    <s v="41.30"/>
    <n v="66"/>
    <m/>
    <s v="ALTERACAO DEBITO"/>
    <n v="9999"/>
    <x v="43"/>
    <s v="11.28"/>
    <s v="elizabel"/>
    <s v="61 a 90"/>
    <s v="ACIONAMENTO"/>
    <x v="4"/>
  </r>
  <r>
    <s v="COGECOM"/>
    <n v="3095792151"/>
    <s v="Leticia Rezende Prado Martins"/>
    <s v="OUT"/>
    <s v="OUTROS"/>
    <n v="478376081"/>
    <x v="1"/>
    <s v="0.00"/>
    <s v="45.62"/>
    <n v="72"/>
    <m/>
    <s v="ALTERACAO DEBITO"/>
    <n v="9999"/>
    <x v="43"/>
    <s v="10.58"/>
    <s v="elizabel"/>
    <s v="61 a 90"/>
    <s v="ACIONAMENTO"/>
    <x v="4"/>
  </r>
  <r>
    <s v="COGECOM"/>
    <n v="51237331"/>
    <s v="Raphael Henrique da Costa"/>
    <s v="OUT"/>
    <s v="OUTROS"/>
    <n v="2861230967"/>
    <x v="1"/>
    <s v="0.00"/>
    <s v="226.09"/>
    <n v="66"/>
    <m/>
    <s v="ALTERACAO DEBITO"/>
    <n v="9999"/>
    <x v="43"/>
    <s v="11.09"/>
    <s v="elizabel"/>
    <s v="61 a 90"/>
    <s v="ACIONAMENTO"/>
    <x v="4"/>
  </r>
  <r>
    <s v="COGECOM"/>
    <n v="53451195"/>
    <s v="TIAGO ASSIS BATTISTI"/>
    <s v="OUT"/>
    <s v="OUTROS"/>
    <n v="4622784920"/>
    <x v="1"/>
    <s v="0.00"/>
    <s v="181.98"/>
    <n v="66"/>
    <s v="EM NEGOCIAÇÃO"/>
    <s v="ALTERACAO DEBITO"/>
    <n v="55"/>
    <x v="43"/>
    <s v="11.08"/>
    <s v="elizabel"/>
    <s v="61 a 90"/>
    <s v="ACIONAMENTO"/>
    <x v="2"/>
  </r>
  <r>
    <s v="COGECOM"/>
    <n v="22528113"/>
    <s v="Edina Cristina Gregorio dos Santos"/>
    <s v="OUT"/>
    <s v="OUTROS"/>
    <n v="1877562955"/>
    <x v="1"/>
    <s v="587.02"/>
    <s v="305.87"/>
    <n v="203"/>
    <s v="EM NEGOCIAÇÃO"/>
    <s v="NEGOCIAÇÃO VIA WHATSAPP"/>
    <n v="54"/>
    <x v="44"/>
    <s v="11.05"/>
    <s v="anne"/>
    <s v="181 a 360"/>
    <s v="CPC"/>
    <x v="2"/>
  </r>
  <r>
    <s v="COGECOM"/>
    <n v="69168857"/>
    <s v="AGUINALDO GONCALVES GUIMARAES"/>
    <s v="OUT"/>
    <s v="OUTROS"/>
    <n v="83635157953"/>
    <x v="1"/>
    <s v="0.00"/>
    <s v="101.56"/>
    <n v="65"/>
    <s v="EM NEGOCIAÇÃO"/>
    <s v="NEGOCIAÇÃO VIA WHATSAPP"/>
    <n v="54"/>
    <x v="44"/>
    <s v="8.56"/>
    <s v="roberto"/>
    <s v="61 a 90"/>
    <s v="CPC"/>
    <x v="2"/>
  </r>
  <r>
    <s v="COGECOM"/>
    <n v="52296161"/>
    <s v="BREAD KING ALIMENTOS LTDA ME"/>
    <s v="OUT"/>
    <s v="OUTROS"/>
    <n v="8474768000109"/>
    <x v="1"/>
    <s v="0.00"/>
    <s v="4990.02"/>
    <n v="66"/>
    <s v="SEM INTERESSE"/>
    <s v="SEM INTERESSE"/>
    <n v="54"/>
    <x v="44"/>
    <s v="15.13"/>
    <s v="adrimpra"/>
    <s v="61 a 90"/>
    <s v="CPC"/>
    <x v="1"/>
  </r>
  <r>
    <s v="COGECOM"/>
    <n v="55723222"/>
    <s v="DIEGO GNECCO"/>
    <s v="OUT"/>
    <s v="OUTROS"/>
    <n v="4216169970"/>
    <x v="1"/>
    <s v="0.00"/>
    <s v="97.60"/>
    <n v="66"/>
    <s v="EM NEGOCIAÇÃO"/>
    <s v="NEGOCIAÇÃO VIA WHATSAPP"/>
    <n v="54"/>
    <x v="44"/>
    <s v="9.04"/>
    <s v="roberto"/>
    <s v="61 a 90"/>
    <s v="CPC"/>
    <x v="2"/>
  </r>
  <r>
    <s v="COGECOM"/>
    <n v="27263950"/>
    <s v="FABIANA LEAL GUERRA"/>
    <s v="OUT"/>
    <s v="OUTROS"/>
    <n v="5802835931"/>
    <x v="1"/>
    <s v="0.00"/>
    <s v="4676.77"/>
    <n v="66"/>
    <s v="SEM INTERESSE"/>
    <s v="NEGOCIAÇÃO VIA TELEFONE"/>
    <n v="54"/>
    <x v="44"/>
    <s v="15.19"/>
    <s v="adrimpra"/>
    <s v="61 a 90"/>
    <s v="CPC"/>
    <x v="1"/>
  </r>
  <r>
    <s v="COGECOM"/>
    <n v="30500628"/>
    <s v="Claudio Henschel de Matos"/>
    <s v="OUT"/>
    <s v="OUTROS"/>
    <n v="15089941882"/>
    <x v="1"/>
    <s v="0.00"/>
    <s v="54.73"/>
    <n v="196"/>
    <s v="SEM INTERESSE"/>
    <s v="SEM INTERESSE"/>
    <n v="55"/>
    <x v="45"/>
    <s v="10.21"/>
    <s v="cassia.a"/>
    <s v="181 a 360"/>
    <s v="CPC"/>
    <x v="1"/>
  </r>
  <r>
    <s v="COGECOM"/>
    <n v="3013275080"/>
    <s v="JONAS EMANOEL VIEIRA DE SOUZA"/>
    <s v="OUT"/>
    <s v="OUTROS"/>
    <n v="8839095616"/>
    <x v="1"/>
    <s v="0.00"/>
    <s v="80.80"/>
    <n v="246"/>
    <s v="SEM INTERESSE"/>
    <s v="SEM INTERESSE"/>
    <n v="55"/>
    <x v="45"/>
    <s v="14.50"/>
    <s v="anne"/>
    <s v="181 a 360"/>
    <s v="CPC"/>
    <x v="1"/>
  </r>
  <r>
    <s v="COGECOM"/>
    <n v="3091148844"/>
    <s v="Leonel Fernando Aurelio Aires"/>
    <s v="OUT"/>
    <s v="OUTROS"/>
    <n v="46371834053"/>
    <x v="1"/>
    <s v="0.00"/>
    <s v="323.89"/>
    <n v="188"/>
    <s v="EM NEGOCIAÇÃO"/>
    <s v="ALTERACAO DEBITO"/>
    <n v="57"/>
    <x v="45"/>
    <s v="13.57"/>
    <s v="elizabel"/>
    <s v="181 a 360"/>
    <s v="ACIONAMENTO"/>
    <x v="2"/>
  </r>
  <r>
    <s v="COGECOM"/>
    <n v="97863645"/>
    <s v="RONALDO IGESCA VALVERDE"/>
    <s v="OUT"/>
    <s v="OUTROS"/>
    <n v="15132402852"/>
    <x v="1"/>
    <s v="0.00"/>
    <s v="68.29"/>
    <n v="558"/>
    <m/>
    <s v="ALTERACAO DEBITO"/>
    <n v="9999"/>
    <x v="45"/>
    <s v="13.53"/>
    <s v="elizabel"/>
    <s v="Acima de 361"/>
    <s v="ACIONAMENTO"/>
    <x v="4"/>
  </r>
  <r>
    <s v="COGECOM"/>
    <n v="16628524"/>
    <s v="SIDERLEI NEPOMUCENA DUARTE"/>
    <s v="OUT"/>
    <s v="OUTROS"/>
    <n v="51711850187"/>
    <x v="1"/>
    <s v="293.74"/>
    <s v="21.63"/>
    <n v="326"/>
    <s v="ACORDO VIGENTE COLCHÃO EM DIA"/>
    <s v="GERAÇÃO DE ACORDO"/>
    <n v="176"/>
    <x v="45"/>
    <s v="15.42"/>
    <s v="cassia.a"/>
    <s v="181 a 360"/>
    <s v="CPC"/>
    <x v="2"/>
  </r>
  <r>
    <s v="COGECOM"/>
    <n v="3005670491"/>
    <s v="FABIANA MARTINS GOMES"/>
    <s v="OUT"/>
    <s v="OUTROS"/>
    <n v="9021715694"/>
    <x v="1"/>
    <s v="0.00"/>
    <s v="139.88"/>
    <n v="171"/>
    <s v="NÃO LOCALIZADO"/>
    <s v="TELEFONES SEM ATENDIMENTO"/>
    <n v="55"/>
    <x v="45"/>
    <s v="16.52"/>
    <s v="anne"/>
    <s v="91 a 180"/>
    <s v="ACIONAMENTO"/>
    <x v="0"/>
  </r>
  <r>
    <s v="COGECOM"/>
    <n v="3010282450"/>
    <s v="OSEIAS SILVA BALEEIRO"/>
    <s v="OUT"/>
    <s v="OUTROS"/>
    <n v="56936800610"/>
    <x v="1"/>
    <s v="0.00"/>
    <s v="86.85"/>
    <n v="190"/>
    <s v="EM NEGOCIAÇÃO"/>
    <s v="NEGOCIAÇÃO VIA TELEFONE"/>
    <n v="55"/>
    <x v="45"/>
    <s v="14.43"/>
    <s v="peterson"/>
    <s v="181 a 360"/>
    <s v="CPC"/>
    <x v="2"/>
  </r>
  <r>
    <s v="COGECOM"/>
    <n v="17215200"/>
    <s v="Jose Fernando Alves Henriques"/>
    <s v="OUT"/>
    <s v="OUTROS"/>
    <n v="48967513968"/>
    <x v="1"/>
    <s v="0.00"/>
    <s v="406.03"/>
    <n v="147"/>
    <s v="NÃO LOCALIZADO"/>
    <s v="TELEFONES SEM ATENDIMENTO"/>
    <n v="55"/>
    <x v="45"/>
    <s v="15.49"/>
    <s v="anne"/>
    <s v="91 a 180"/>
    <s v="ACIONAMENTO"/>
    <x v="0"/>
  </r>
  <r>
    <s v="COGECOM"/>
    <n v="10032511394"/>
    <s v="James Isecke Vieira"/>
    <s v="OUT"/>
    <s v="OUTROS"/>
    <n v="92737110149"/>
    <x v="1"/>
    <s v="0.00"/>
    <s v="546.56"/>
    <n v="181"/>
    <s v="SEM INTERESSE"/>
    <s v="SEM INTERESSE"/>
    <n v="55"/>
    <x v="45"/>
    <s v="15.30"/>
    <s v="isabel"/>
    <s v="181 a 360"/>
    <s v="CPC"/>
    <x v="1"/>
  </r>
  <r>
    <s v="COGECOM"/>
    <n v="61881007"/>
    <s v="COMÉRCIO DE ALIMENTOS NS LTDA EPP"/>
    <s v="OUT"/>
    <s v="OUTROS"/>
    <n v="84857853000134"/>
    <x v="1"/>
    <s v="0.00"/>
    <s v="11663.92"/>
    <n v="74"/>
    <s v="EM NEGOCIAÇÃO"/>
    <s v="ALTERACAO DEBITO"/>
    <n v="56"/>
    <x v="45"/>
    <s v="14.03"/>
    <s v="elizabel"/>
    <s v="61 a 90"/>
    <s v="ACIONAMENTO"/>
    <x v="2"/>
  </r>
  <r>
    <s v="COGECOM"/>
    <n v="56007121"/>
    <s v="GABRIEL STAROSKY MACHADO"/>
    <s v="OUT"/>
    <s v="OUTROS"/>
    <n v="8631805904"/>
    <x v="1"/>
    <s v="0.00"/>
    <s v="52.31"/>
    <n v="66"/>
    <m/>
    <s v="ALTERACAO DEBITO"/>
    <n v="9999"/>
    <x v="45"/>
    <s v="14.09"/>
    <s v="elizabel"/>
    <s v="61 a 90"/>
    <s v="ACIONAMENTO"/>
    <x v="4"/>
  </r>
  <r>
    <s v="COGECOM"/>
    <n v="66370361"/>
    <s v="HEULLER OREGES BUENO DA SILVA"/>
    <s v="OUT"/>
    <s v="OUTROS"/>
    <n v="3608058923"/>
    <x v="1"/>
    <s v="0.00"/>
    <s v="23.09"/>
    <n v="71"/>
    <m/>
    <s v="ALTERACAO DEBITO"/>
    <n v="9999"/>
    <x v="45"/>
    <s v="14.08"/>
    <s v="elizabel"/>
    <s v="61 a 90"/>
    <s v="ACIONAMENTO"/>
    <x v="4"/>
  </r>
  <r>
    <s v="COGECOM"/>
    <n v="49291360"/>
    <s v="J T ASSISTENCIA TECNICA E ACESSORIOS PARA ELETRONICOS LTDA"/>
    <s v="OUT"/>
    <s v="OUTROS"/>
    <n v="28799135000188"/>
    <x v="1"/>
    <s v="0.00"/>
    <s v="118.30"/>
    <n v="71"/>
    <s v="EM NEGOCIAÇÃO"/>
    <s v="NEGOCIAÇÃO VIA WHATSAPP"/>
    <n v="55"/>
    <x v="45"/>
    <s v="10.50"/>
    <s v="roberto"/>
    <s v="61 a 90"/>
    <s v="CPC"/>
    <x v="2"/>
  </r>
  <r>
    <s v="COGECOM"/>
    <n v="3004630187"/>
    <s v="JOSE INACIO MAIA"/>
    <s v="OUT"/>
    <s v="OUTROS"/>
    <n v="5952039812"/>
    <x v="0"/>
    <s v="1068.29"/>
    <s v="351.84"/>
    <n v="65"/>
    <s v="EM NEGOCIAÇÃO"/>
    <s v="GERAÇÃO DE ACORDO"/>
    <n v="55"/>
    <x v="45"/>
    <s v="8.44"/>
    <s v="roberto"/>
    <s v="61 a 90"/>
    <s v="CPC"/>
    <x v="2"/>
  </r>
  <r>
    <s v="COGECOM"/>
    <n v="30158270"/>
    <s v="Juan Carlos Martin De Carvalho"/>
    <s v="OUT"/>
    <s v="OUTROS"/>
    <n v="7462431971"/>
    <x v="1"/>
    <s v="0.00"/>
    <s v="194.03"/>
    <n v="66"/>
    <s v="EM NEGOCIAÇÃO"/>
    <s v="ALTERACAO DEBITO"/>
    <n v="56"/>
    <x v="45"/>
    <s v="14.16"/>
    <s v="elizabel"/>
    <s v="61 a 90"/>
    <s v="ACIONAMENTO"/>
    <x v="2"/>
  </r>
  <r>
    <s v="COGECOM"/>
    <n v="48358802"/>
    <s v="SCHARLENE VELHO LUIZ"/>
    <s v="OUT"/>
    <s v="OUTROS"/>
    <n v="8505738900"/>
    <x v="1"/>
    <s v="0.00"/>
    <s v="4.98"/>
    <n v="73"/>
    <s v="EM NEGOCIAÇÃO"/>
    <s v="ALTERACAO DEBITO"/>
    <n v="56"/>
    <x v="45"/>
    <s v="14.05"/>
    <s v="elizabel"/>
    <s v="61 a 90"/>
    <s v="ACIONAMENTO"/>
    <x v="2"/>
  </r>
  <r>
    <s v="COGECOM"/>
    <n v="50547221"/>
    <s v="Silvio Formentin Junior"/>
    <s v="OUT"/>
    <s v="OUTROS"/>
    <n v="8044370927"/>
    <x v="1"/>
    <s v="109.89"/>
    <s v="97.63"/>
    <n v="66"/>
    <s v="EM NEGOCIAÇÃO"/>
    <s v="GERAÇÃO DE ACORDO"/>
    <n v="55"/>
    <x v="45"/>
    <s v="10.02"/>
    <s v="roberto"/>
    <s v="61 a 90"/>
    <s v="CPC"/>
    <x v="2"/>
  </r>
  <r>
    <s v="COGECOM"/>
    <n v="40414053"/>
    <s v="TATIANE KOCH"/>
    <s v="OUT"/>
    <s v="OUTROS"/>
    <n v="7905830977"/>
    <x v="1"/>
    <s v="0.00"/>
    <s v="184.74"/>
    <n v="66"/>
    <m/>
    <s v="ALTERACAO DEBITO"/>
    <n v="9999"/>
    <x v="45"/>
    <s v="14.10"/>
    <s v="elizabel"/>
    <s v="61 a 90"/>
    <s v="ACIONAMENTO"/>
    <x v="4"/>
  </r>
  <r>
    <s v="COGECOM"/>
    <n v="26232678"/>
    <s v="Yuri Mestnik"/>
    <s v="OUT"/>
    <s v="OUTROS"/>
    <n v="27396251893"/>
    <x v="1"/>
    <s v="0.00"/>
    <s v="7.17"/>
    <n v="73"/>
    <m/>
    <s v="ALTERACAO DEBITO"/>
    <n v="9999"/>
    <x v="45"/>
    <s v="14.05"/>
    <s v="elizabel"/>
    <s v="61 a 90"/>
    <s v="ACIONAMENTO"/>
    <x v="4"/>
  </r>
  <r>
    <s v="COGECOM"/>
    <n v="93801866"/>
    <s v="Adenilson Inacio de Siqueira"/>
    <s v="OUT"/>
    <s v="OUTROS"/>
    <n v="4563200913"/>
    <x v="1"/>
    <s v="196.11"/>
    <s v="95.00"/>
    <n v="429"/>
    <s v="EM NEGOCIAÇÃO"/>
    <s v="NEGOCIAÇÃO VIA TELEFONE"/>
    <n v="56"/>
    <x v="46"/>
    <s v="16.22"/>
    <s v="anne"/>
    <s v="Acima de 361"/>
    <s v="CPC"/>
    <x v="2"/>
  </r>
  <r>
    <s v="COGECOM"/>
    <n v="72251948"/>
    <s v="Ana Luiza Barbosa de Oliveira da Silva"/>
    <s v="OUT"/>
    <s v="OUTROS"/>
    <n v="5585587986"/>
    <x v="1"/>
    <s v="0.00"/>
    <s v="76.47"/>
    <n v="323"/>
    <s v="SEM INTERESSE"/>
    <s v="SEM INTERESSE"/>
    <n v="56"/>
    <x v="46"/>
    <s v="10.26"/>
    <s v="cassia.a"/>
    <s v="181 a 360"/>
    <s v="CPC"/>
    <x v="1"/>
  </r>
  <r>
    <s v="COGECOM"/>
    <n v="98455320"/>
    <s v="DIOGO HIDEKI WAKAYA"/>
    <s v="OUT"/>
    <s v="OUTROS"/>
    <n v="4033278907"/>
    <x v="0"/>
    <s v="1336.05"/>
    <s v="391.44"/>
    <n v="405"/>
    <s v="FALECIDO"/>
    <s v="FALECIDO"/>
    <n v="56"/>
    <x v="46"/>
    <s v="16.14"/>
    <s v="isabel"/>
    <s v="Acima de 361"/>
    <s v="ACIONAMENTO"/>
    <x v="5"/>
  </r>
  <r>
    <s v="COGECOM"/>
    <n v="4001625328"/>
    <s v="MARILIA GOMES PORTO BAGATTINI"/>
    <s v="OUT"/>
    <s v="OUTROS"/>
    <n v="1851148060"/>
    <x v="1"/>
    <s v="0.00"/>
    <s v="169.37"/>
    <n v="186"/>
    <s v="SEM INTERESSE"/>
    <s v="RECADO COM"/>
    <n v="56"/>
    <x v="46"/>
    <s v="13.38"/>
    <s v="peterson"/>
    <s v="181 a 360"/>
    <s v="ACIONAMENTO"/>
    <x v="1"/>
  </r>
  <r>
    <s v="COGECOM"/>
    <n v="630404276"/>
    <s v="ORLANDO TAZINAFFO JUNIOR"/>
    <s v="OUT"/>
    <s v="OUTROS"/>
    <n v="22013822120"/>
    <x v="1"/>
    <s v="0.00"/>
    <s v="26.63"/>
    <n v="176"/>
    <s v="EM NEGOCIAÇÃO"/>
    <s v="ALTERACAO DEBITO"/>
    <n v="69"/>
    <x v="46"/>
    <s v="14.34"/>
    <s v="elizabel"/>
    <s v="91 a 180"/>
    <s v="ACIONAMENTO"/>
    <x v="2"/>
  </r>
  <r>
    <s v="COGECOM"/>
    <n v="108113167"/>
    <s v="THIAGO FERNANDES DOS REIS"/>
    <s v="OUT"/>
    <s v="OUTROS"/>
    <n v="3302155905"/>
    <x v="1"/>
    <s v="320.28"/>
    <s v="463.45"/>
    <n v="167"/>
    <s v="ACORDO VIGENTE COLCHÃO EM DIA"/>
    <s v="ACORDO VIGENTE COLCHÃO EM DIA"/>
    <n v="56"/>
    <x v="46"/>
    <s v="14.54"/>
    <s v="isabel"/>
    <s v="91 a 180"/>
    <s v="CPC"/>
    <x v="2"/>
  </r>
  <r>
    <s v="COGECOM"/>
    <n v="12774571"/>
    <s v="JHONATA ALVES DE BRITO"/>
    <s v="OUT"/>
    <s v="OUTROS"/>
    <n v="655471103"/>
    <x v="0"/>
    <s v="317.89"/>
    <s v="103.78"/>
    <n v="173"/>
    <m/>
    <s v="GERAÇÃO DE ACORDO"/>
    <n v="9999"/>
    <x v="46"/>
    <s v="14.25"/>
    <s v="rafael"/>
    <s v="91 a 180"/>
    <s v="CPC"/>
    <x v="4"/>
  </r>
  <r>
    <s v="COGECOM"/>
    <n v="3010640100"/>
    <s v="Cristiano Antonio de Andrade"/>
    <s v="OUT"/>
    <s v="OUTROS"/>
    <n v="4455793666"/>
    <x v="1"/>
    <s v="151.99"/>
    <s v="56.94"/>
    <n v="154"/>
    <m/>
    <s v="GERAÇÃO DE ACORDO"/>
    <n v="9999"/>
    <x v="46"/>
    <s v="14.42"/>
    <s v="rafael"/>
    <s v="91 a 180"/>
    <s v="CPC"/>
    <x v="4"/>
  </r>
  <r>
    <s v="COGECOM"/>
    <n v="106214861"/>
    <s v="Marcelo Daniel Pinto e Silva"/>
    <s v="OUT"/>
    <s v="OUTROS"/>
    <n v="739735993"/>
    <x v="1"/>
    <s v="0.00"/>
    <s v="168.61"/>
    <n v="122"/>
    <s v="EM NEGOCIAÇÃO"/>
    <s v="NEGOCIAÇÃO VIA TELEFONE"/>
    <n v="56"/>
    <x v="46"/>
    <s v="13.28"/>
    <s v="peterson"/>
    <s v="91 a 180"/>
    <s v="CPC"/>
    <x v="2"/>
  </r>
  <r>
    <s v="COGECOM"/>
    <n v="9200851"/>
    <s v="MARA GORETI MARTINS ALVES"/>
    <s v="OUT"/>
    <s v="OUTROS"/>
    <n v="16826646862"/>
    <x v="0"/>
    <s v="179.26"/>
    <s v="85.36"/>
    <n v="143"/>
    <m/>
    <s v="GERAÇÃO DE ACORDO"/>
    <n v="9999"/>
    <x v="46"/>
    <s v="11.59"/>
    <s v="rafael"/>
    <s v="91 a 180"/>
    <s v="CPC"/>
    <x v="4"/>
  </r>
  <r>
    <s v="COGECOM"/>
    <n v="25220470"/>
    <s v="CARMEN VERA RODRIGUES SILVA"/>
    <s v="OUT"/>
    <s v="OUTROS"/>
    <n v="54036496972"/>
    <x v="0"/>
    <s v="482.01"/>
    <s v="106.21"/>
    <n v="96"/>
    <m/>
    <s v="GERAÇÃO DE ACORDO"/>
    <n v="9999"/>
    <x v="46"/>
    <s v="13.45"/>
    <s v="rafael"/>
    <s v="91 a 180"/>
    <s v="CPC"/>
    <x v="4"/>
  </r>
  <r>
    <s v="COGECOM"/>
    <n v="64401286"/>
    <s v="Paulo Sergio Alves"/>
    <s v="OUT"/>
    <s v="OUTROS"/>
    <n v="93156065900"/>
    <x v="1"/>
    <s v="0.00"/>
    <s v="27.32"/>
    <n v="87"/>
    <s v="SEM INTERESSE"/>
    <s v="NEGOCIAÇÃO VIA TELEFONE"/>
    <n v="56"/>
    <x v="46"/>
    <s v="15.46"/>
    <s v="anne"/>
    <s v="61 a 90"/>
    <s v="CPC"/>
    <x v="1"/>
  </r>
  <r>
    <s v="COGECOM"/>
    <n v="120397160"/>
    <s v="Marcelo Torgone Vicente da silva"/>
    <s v="OUT"/>
    <s v="OUTROS"/>
    <n v="78698995187"/>
    <x v="1"/>
    <s v="310.48"/>
    <s v="282.25"/>
    <n v="115"/>
    <m/>
    <s v="GERAÇÃO DE ACORDO"/>
    <n v="9999"/>
    <x v="46"/>
    <s v="12.04"/>
    <s v="rafael"/>
    <s v="91 a 180"/>
    <s v="CPC"/>
    <x v="4"/>
  </r>
  <r>
    <s v="COGECOM"/>
    <n v="27788628"/>
    <s v="RONALDO BECKERT"/>
    <s v="OUT"/>
    <s v="OUTROS"/>
    <n v="47941499991"/>
    <x v="1"/>
    <s v="0.00"/>
    <s v="76.15"/>
    <n v="125"/>
    <s v="SEM INTERESSE"/>
    <s v="NEGOCIAÇÃO VIA TELEFONE"/>
    <n v="56"/>
    <x v="46"/>
    <s v="15.06"/>
    <s v="anne"/>
    <s v="91 a 180"/>
    <s v="CPC"/>
    <x v="1"/>
  </r>
  <r>
    <s v="COGECOM"/>
    <n v="82244049"/>
    <s v="RDF Comércio Exterior e Armazéns Gerais Eireli"/>
    <s v="OUT"/>
    <s v="OUTROS"/>
    <n v="5205807000184"/>
    <x v="1"/>
    <s v="0.00"/>
    <s v="3442.86"/>
    <n v="96"/>
    <s v="EM NEGOCIAÇÃO"/>
    <s v="NEGOCIAÇÃO VIA WHATSAPP"/>
    <n v="56"/>
    <x v="46"/>
    <s v="14.38"/>
    <s v="roberto"/>
    <s v="91 a 180"/>
    <s v="CPC"/>
    <x v="2"/>
  </r>
  <r>
    <s v="COGECOM"/>
    <n v="57307296"/>
    <s v="AMILTON FARIAS RORIGUES"/>
    <s v="OUT"/>
    <s v="OUTROS"/>
    <n v="49202782920"/>
    <x v="0"/>
    <s v="1478.07"/>
    <s v="1478.07"/>
    <n v="87"/>
    <s v="SEM INTERESSE"/>
    <s v="RECADO COM"/>
    <n v="9999"/>
    <x v="46"/>
    <s v="16.26"/>
    <s v="luciano"/>
    <s v="61 a 90"/>
    <s v="ACIONAMENTO"/>
    <x v="1"/>
  </r>
  <r>
    <s v="COGECOM"/>
    <n v="3004034973"/>
    <s v="ANA LUCIA BARBOSA RODRIGUES"/>
    <s v="OUT"/>
    <s v="OUTROS"/>
    <n v="1044954647"/>
    <x v="1"/>
    <s v="110.82"/>
    <s v="98.46"/>
    <n v="66"/>
    <m/>
    <s v="GERAÇÃO DE ACORDO"/>
    <n v="9999"/>
    <x v="46"/>
    <s v="16.02"/>
    <s v="p.quadros"/>
    <s v="61 a 90"/>
    <s v="CPC"/>
    <x v="4"/>
  </r>
  <r>
    <s v="COGECOM"/>
    <n v="42932698"/>
    <s v="ANTONIO AUGUSTO SALAZAR MANZARRA"/>
    <s v="OUT"/>
    <s v="OUTROS"/>
    <n v="29932610968"/>
    <x v="1"/>
    <s v="413.84"/>
    <s v="376.22"/>
    <n v="66"/>
    <s v="ACORDO VIGENTE COLCHÃO EM DIA"/>
    <s v="ACORDO VIGENTE COLCHÃO EM DIA"/>
    <n v="56"/>
    <x v="46"/>
    <s v="11.35"/>
    <s v="isabel"/>
    <s v="61 a 90"/>
    <s v="CPC"/>
    <x v="2"/>
  </r>
  <r>
    <s v="COGECOM"/>
    <n v="24898024"/>
    <s v="CONDOMÍNIO E EDIFÍCIO JUAREZ MACHADO"/>
    <s v="OUT"/>
    <s v="OUTROS"/>
    <n v="7612908000103"/>
    <x v="1"/>
    <s v="56.49"/>
    <s v="49.08"/>
    <n v="71"/>
    <m/>
    <s v="GERAÇÃO DE ACORDO"/>
    <n v="9999"/>
    <x v="46"/>
    <s v="15.40"/>
    <s v="p.quadros"/>
    <s v="61 a 90"/>
    <s v="CPC"/>
    <x v="4"/>
  </r>
  <r>
    <s v="COGECOM"/>
    <n v="68981805"/>
    <s v="MARCELO APARECIDO VIEIRA"/>
    <s v="OUT"/>
    <s v="OUTROS"/>
    <n v="3017882942"/>
    <x v="1"/>
    <s v="87.62"/>
    <s v="79.65"/>
    <n v="71"/>
    <m/>
    <s v="GERAÇÃO DE ACORDO"/>
    <n v="9999"/>
    <x v="46"/>
    <s v="12.03"/>
    <s v="rafael"/>
    <s v="61 a 90"/>
    <s v="CPC"/>
    <x v="4"/>
  </r>
  <r>
    <s v="COGECOM"/>
    <n v="101874693"/>
    <s v="Mbs Imoveis Ltda"/>
    <s v="OUT"/>
    <s v="OUTROS"/>
    <n v="18535487000172"/>
    <x v="1"/>
    <s v="0.00"/>
    <s v="82.81"/>
    <n v="71"/>
    <s v="SEM INTERESSE"/>
    <s v="SEM INTERESSE"/>
    <n v="56"/>
    <x v="46"/>
    <s v="16.15"/>
    <s v="adrimpra"/>
    <s v="61 a 90"/>
    <s v="CPC"/>
    <x v="1"/>
  </r>
  <r>
    <s v="COGECOM"/>
    <n v="4001556975"/>
    <s v="Murilo Cardoso Corso Rossi"/>
    <s v="OUT"/>
    <s v="OUTROS"/>
    <n v="31961583810"/>
    <x v="1"/>
    <s v="0.00"/>
    <s v="245.00"/>
    <n v="66"/>
    <s v="SEM INTERESSE"/>
    <s v="NEGOCIAÇÃO VIA WHATSAPP"/>
    <n v="56"/>
    <x v="46"/>
    <s v="14.40"/>
    <s v="anne"/>
    <s v="61 a 90"/>
    <s v="CPC"/>
    <x v="1"/>
  </r>
  <r>
    <s v="COGECOM"/>
    <n v="25647556"/>
    <s v="TATIANA POPERMEIER PICOLI"/>
    <s v="OUT"/>
    <s v="OUTROS"/>
    <n v="2763280943"/>
    <x v="0"/>
    <s v="156.82"/>
    <s v="35.29"/>
    <n v="74"/>
    <m/>
    <s v="GERAÇÃO DE ACORDO"/>
    <n v="9999"/>
    <x v="46"/>
    <s v="12.08"/>
    <s v="rafael"/>
    <s v="61 a 90"/>
    <s v="CPC"/>
    <x v="4"/>
  </r>
  <r>
    <s v="COGECOM"/>
    <n v="10037567223"/>
    <s v="IARA BAIAO DE SOUSA"/>
    <s v="OUT"/>
    <s v="OUTROS"/>
    <n v="4801353398"/>
    <x v="1"/>
    <s v="0.00"/>
    <s v="30.76"/>
    <n v="192"/>
    <s v="EM NEGOCIAÇÃO"/>
    <s v="NEGOCIAÇÃO VIA WHATSAPP"/>
    <n v="57"/>
    <x v="47"/>
    <s v="15.32"/>
    <s v="anne"/>
    <s v="181 a 360"/>
    <s v="CPC"/>
    <x v="2"/>
  </r>
  <r>
    <s v="COGECOM"/>
    <n v="91341230"/>
    <s v="Josue Cardoso Fagundes"/>
    <s v="OUT"/>
    <s v="OUTROS"/>
    <n v="70879281987"/>
    <x v="1"/>
    <s v="0.00"/>
    <s v="366.27"/>
    <n v="243"/>
    <s v="EM NEGOCIAÇÃO"/>
    <s v="ALTERACAO DEBITO"/>
    <n v="61"/>
    <x v="47"/>
    <s v="17.18"/>
    <s v="elizabel"/>
    <s v="181 a 360"/>
    <s v="ACIONAMENTO"/>
    <x v="2"/>
  </r>
  <r>
    <s v="COGECOM"/>
    <n v="20922814"/>
    <s v="MAURICIO RIBEIRO DE SOUZA"/>
    <s v="OUT"/>
    <s v="OUTROS"/>
    <n v="51717689191"/>
    <x v="1"/>
    <s v="0.00"/>
    <s v="48.86"/>
    <n v="228"/>
    <s v="SEM INTERESSE"/>
    <s v="ESTORNO"/>
    <n v="58"/>
    <x v="47"/>
    <s v="9.12"/>
    <s v="luciano"/>
    <s v="181 a 360"/>
    <s v="ACIONAMENTO"/>
    <x v="1"/>
  </r>
  <r>
    <s v="COGECOM"/>
    <n v="20197366"/>
    <s v="JOANA D ARC RODRIGUES SILVA"/>
    <s v="OUT"/>
    <s v="OUTROS"/>
    <n v="58647481100"/>
    <x v="0"/>
    <s v="971.77"/>
    <s v="148.13"/>
    <n v="328"/>
    <s v="EM NEGOCIAÇÃO"/>
    <s v="NEGOCIAÇÃO VIA WHATSAPP"/>
    <n v="57"/>
    <x v="47"/>
    <s v="14.21"/>
    <s v="roberto"/>
    <s v="181 a 360"/>
    <s v="CPC"/>
    <x v="2"/>
  </r>
  <r>
    <s v="COGECOM"/>
    <n v="9477756"/>
    <s v="Ana Carolina Wolff Mota"/>
    <s v="OUT"/>
    <s v="OUTROS"/>
    <n v="3562403984"/>
    <x v="1"/>
    <s v="0.00"/>
    <s v="386.09"/>
    <n v="225"/>
    <s v="EM NEGOCIAÇÃO"/>
    <s v="ALTERACAO DEBITO"/>
    <n v="61"/>
    <x v="48"/>
    <s v="15.00"/>
    <s v="elizabel"/>
    <s v="181 a 360"/>
    <s v="ACIONAMENTO"/>
    <x v="2"/>
  </r>
  <r>
    <s v="COGECOM"/>
    <n v="3000906456"/>
    <s v="SONIA PEREIRA DA SILVA"/>
    <s v="OUT"/>
    <s v="OUTROS"/>
    <n v="35439610634"/>
    <x v="1"/>
    <s v="0.00"/>
    <s v="109.24"/>
    <n v="88"/>
    <s v="SEM INTERESSE"/>
    <s v="RECADO COM"/>
    <n v="58"/>
    <x v="48"/>
    <s v="15.53"/>
    <s v="peterson"/>
    <s v="61 a 90"/>
    <s v="ACIONAMENTO"/>
    <x v="1"/>
  </r>
  <r>
    <s v="COGECOM"/>
    <n v="42357260"/>
    <s v="ALIRIO BERNARDINO"/>
    <s v="OUT"/>
    <s v="OUTROS"/>
    <n v="3629199925"/>
    <x v="1"/>
    <s v="443.76"/>
    <s v="273.08"/>
    <n v="159"/>
    <s v="EM NEGOCIAÇÃO"/>
    <s v="NEGOCIAÇÃO VIA TELEFONE"/>
    <n v="61"/>
    <x v="49"/>
    <s v="11.46"/>
    <s v="anne"/>
    <s v="91 a 180"/>
    <s v="CPC"/>
    <x v="2"/>
  </r>
  <r>
    <s v="COGECOM"/>
    <n v="3090916574"/>
    <s v="Marcia Becker Mendes"/>
    <s v="OUT"/>
    <s v="OUTROS"/>
    <n v="93927665053"/>
    <x v="1"/>
    <s v="0.00"/>
    <s v="157.30"/>
    <n v="191"/>
    <s v="SEM CONDIÇÕES"/>
    <s v="SEM CONDIÇÕES"/>
    <n v="62"/>
    <x v="50"/>
    <s v="16.58"/>
    <s v="anne"/>
    <s v="181 a 360"/>
    <s v="CPC"/>
    <x v="3"/>
  </r>
  <r>
    <s v="COGECOM"/>
    <n v="3010630671"/>
    <s v="MINI MERCADO JR."/>
    <s v="OUT"/>
    <s v="OUTROS"/>
    <n v="42545864000139"/>
    <x v="0"/>
    <s v="0.00"/>
    <s v="222.84"/>
    <n v="190"/>
    <s v="ACORDO VIGENTE COLCHÃO EM DIA"/>
    <s v="ALTERACAO DEBITO"/>
    <n v="65"/>
    <x v="51"/>
    <s v="16.53"/>
    <s v="elizabel"/>
    <s v="181 a 360"/>
    <s v="ACIONAMENTO"/>
    <x v="2"/>
  </r>
  <r>
    <s v="COGECOM"/>
    <n v="60059052"/>
    <s v="CLOVIS RIZZON"/>
    <s v="OUT"/>
    <s v="OUTROS"/>
    <n v="36900079920"/>
    <x v="1"/>
    <s v="0.00"/>
    <s v="289.35"/>
    <n v="153"/>
    <s v="SEM INTERESSE"/>
    <s v="ALTERACAO DEBITO"/>
    <n v="70"/>
    <x v="52"/>
    <s v="16.31"/>
    <s v="elizabel"/>
    <s v="91 a 180"/>
    <s v="ACIONAMENTO"/>
    <x v="1"/>
  </r>
  <r>
    <s v="COGECOM"/>
    <n v="73579610"/>
    <s v="Marcello Mazzarotto"/>
    <s v="OUT"/>
    <s v="OUTROS"/>
    <n v="31812678991"/>
    <x v="1"/>
    <s v="0.00"/>
    <s v="218.62"/>
    <n v="90"/>
    <s v="EM NEGOCIAÇÃO"/>
    <s v="ALTERACAO DEBITO"/>
    <n v="70"/>
    <x v="52"/>
    <s v="16.31"/>
    <s v="elizabel"/>
    <s v="61 a 90"/>
    <s v="ACIONAMENTO"/>
    <x v="2"/>
  </r>
  <r>
    <s v="COGECOM"/>
    <n v="1000004627"/>
    <s v="ADAILTON PIMENTEL DA COSTA"/>
    <s v="OUT"/>
    <s v="OUTROS"/>
    <n v="50703943120"/>
    <x v="0"/>
    <s v="640.56"/>
    <s v="55.90"/>
    <n v="252"/>
    <s v="ACORDO VIGENTE COLCHÃO EM DIA"/>
    <s v="ACORDO VIGENTE COLCHÃO EM DIA"/>
    <n v="65"/>
    <x v="53"/>
    <s v="14.16"/>
    <s v="isabel"/>
    <s v="181 a 360"/>
    <s v="CPC"/>
    <x v="2"/>
  </r>
  <r>
    <s v="COGECOM"/>
    <n v="70029593"/>
    <s v="FRANCISCA DE CARVALHO MARTINS"/>
    <s v="OUT"/>
    <s v="OUTROS"/>
    <n v="39719901187"/>
    <x v="0"/>
    <s v="308.01"/>
    <s v="98.49"/>
    <n v="209"/>
    <s v="SEM INTERESSE"/>
    <s v="SEM INTERESSE"/>
    <n v="65"/>
    <x v="53"/>
    <s v="14.59"/>
    <s v="isabel"/>
    <s v="181 a 360"/>
    <s v="CPC"/>
    <x v="1"/>
  </r>
  <r>
    <s v="COGECOM"/>
    <n v="37876295"/>
    <s v="PEDRO HENRIQUE TIVA"/>
    <s v="OUT"/>
    <s v="OUTROS"/>
    <n v="8530864948"/>
    <x v="0"/>
    <s v="2569.03"/>
    <s v="399.92"/>
    <n v="179"/>
    <s v="SEM INTERESSE"/>
    <s v="SEM INTERESSE"/>
    <n v="65"/>
    <x v="53"/>
    <s v="15.34"/>
    <s v="cassia.a"/>
    <s v="91 a 180"/>
    <s v="CPC"/>
    <x v="1"/>
  </r>
  <r>
    <s v="COGECOM"/>
    <n v="108990753"/>
    <s v="JANICELI BLANCA CARLOTTO HABLICH SILVESTRE"/>
    <s v="OUT"/>
    <s v="OUTROS"/>
    <n v="1996047973"/>
    <x v="1"/>
    <s v="0.00"/>
    <s v="505.99"/>
    <n v="96"/>
    <s v="NÃO LOCALIZADO"/>
    <s v="PESQUISA NEGATIVA"/>
    <n v="65"/>
    <x v="53"/>
    <s v="14.43"/>
    <s v="cassia.a"/>
    <s v="91 a 180"/>
    <s v="ACIONAMENTO"/>
    <x v="0"/>
  </r>
  <r>
    <s v="COGECOM"/>
    <n v="64415384"/>
    <s v="HELIO BRISCHILIARI"/>
    <s v="OUT"/>
    <s v="OUTROS"/>
    <n v="23791454900"/>
    <x v="0"/>
    <s v="654.65"/>
    <s v="352.74"/>
    <n v="90"/>
    <s v="ACORDO VIGENTE COLCHÃO EM DIA"/>
    <s v="ACORDO VIGENTE COLCHÃO EM DIA"/>
    <n v="65"/>
    <x v="53"/>
    <s v="16.56"/>
    <s v="isabel"/>
    <s v="61 a 90"/>
    <s v="CPC"/>
    <x v="2"/>
  </r>
  <r>
    <s v="COGECOM"/>
    <n v="10013239307"/>
    <s v="Ana Maria Bezerra Vieira"/>
    <s v="OUT"/>
    <s v="OUTROS"/>
    <n v="65871308104"/>
    <x v="1"/>
    <s v="0.00"/>
    <s v="69.41"/>
    <n v="172"/>
    <s v="NÃO LOCALIZADO"/>
    <s v="TELEFONES SEM ATENDIMENTO"/>
    <n v="68"/>
    <x v="54"/>
    <s v="15.24"/>
    <s v="isabel"/>
    <s v="91 a 180"/>
    <s v="ACIONAMENTO"/>
    <x v="0"/>
  </r>
  <r>
    <s v="COGECOM"/>
    <n v="66126584"/>
    <s v="VANDERLEIA APARECIDA ANDRADE BUENO"/>
    <s v="OUT"/>
    <s v="OUTROS"/>
    <n v="98227459900"/>
    <x v="1"/>
    <s v="392.07"/>
    <s v="22.82"/>
    <n v="153"/>
    <s v="AG RESPOSTA 1º CONTATO"/>
    <s v="GERAÇÃO DE ACORDO"/>
    <n v="71"/>
    <x v="54"/>
    <s v="9.17"/>
    <s v="cassia.a"/>
    <s v="91 a 180"/>
    <s v="CPC"/>
    <x v="4"/>
  </r>
  <r>
    <s v="COGECOM"/>
    <n v="63787644"/>
    <s v="NILSON CANDIDO DA SILVA"/>
    <s v="OUT"/>
    <s v="OUTROS"/>
    <n v="86619772900"/>
    <x v="1"/>
    <s v="0.00"/>
    <s v="223.48"/>
    <n v="128"/>
    <s v="EM NEGOCIAÇÃO"/>
    <s v="ALTERACAO DEBITO"/>
    <n v="89"/>
    <x v="54"/>
    <s v="16.03"/>
    <s v="luciano"/>
    <s v="91 a 180"/>
    <s v="ACIONAMENTO"/>
    <x v="2"/>
  </r>
  <r>
    <s v="COGECOM"/>
    <n v="3082385682"/>
    <s v="Fermina Wibelinger de Melo"/>
    <s v="OUT"/>
    <s v="OUTROS"/>
    <n v="93288689049"/>
    <x v="1"/>
    <s v="419.40"/>
    <s v="381.27"/>
    <n v="91"/>
    <s v="ACORDO VIGENTE COLCHÃO EM DIA"/>
    <s v="ACORDO VIGENTE COLCHÃO EM DIA"/>
    <n v="68"/>
    <x v="54"/>
    <s v="15.52"/>
    <s v="isabel"/>
    <s v="91 a 180"/>
    <s v="CPC"/>
    <x v="2"/>
  </r>
  <r>
    <s v="COGECOM"/>
    <n v="3013057446"/>
    <s v="DEBORA COLLA VILLAR"/>
    <s v="OUT"/>
    <s v="OUTROS"/>
    <n v="2855636108"/>
    <x v="1"/>
    <s v="0.00"/>
    <s v="109.24"/>
    <n v="86"/>
    <s v="EM NEGOCIAÇÃO"/>
    <s v="ALTERACAO DEBITO"/>
    <n v="68"/>
    <x v="54"/>
    <s v="9.55"/>
    <s v="luciano"/>
    <s v="61 a 90"/>
    <s v="ACIONAMENTO"/>
    <x v="2"/>
  </r>
  <r>
    <s v="COGECOM"/>
    <n v="3090783520"/>
    <s v="AMILTON RODRIGUES VARGAS"/>
    <s v="OUT"/>
    <s v="OUTROS"/>
    <n v="18165524020"/>
    <x v="1"/>
    <s v="799.42"/>
    <s v="170.65"/>
    <n v="193"/>
    <s v="ACORDO VIGENTE COLCHÃO EM DIA"/>
    <s v="ACORDO VIGENTE COLCHÃO EM DIA"/>
    <n v="69"/>
    <x v="55"/>
    <s v="16.44"/>
    <s v="adrimpra"/>
    <s v="181 a 360"/>
    <s v="CPC"/>
    <x v="2"/>
  </r>
  <r>
    <s v="COGECOM"/>
    <n v="3013439554"/>
    <s v="ELICIANA DINIZ SILVA"/>
    <s v="OUT"/>
    <s v="OUTROS"/>
    <n v="1715235630"/>
    <x v="0"/>
    <s v="860.23"/>
    <s v="138.94"/>
    <n v="276"/>
    <s v="NÃO LOCALIZADO"/>
    <s v="TELEFONES SEM ATENDIMENTO"/>
    <n v="69"/>
    <x v="55"/>
    <s v="16.02"/>
    <s v="isabel"/>
    <s v="181 a 360"/>
    <s v="ACIONAMENTO"/>
    <x v="0"/>
  </r>
  <r>
    <s v="COGECOM"/>
    <n v="11448941"/>
    <s v="FABIANO JUSSARO DE JESUS"/>
    <s v="OUT"/>
    <s v="OUTROS"/>
    <n v="1445671999"/>
    <x v="0"/>
    <s v="126.80"/>
    <s v="149.45"/>
    <n v="186"/>
    <m/>
    <s v="ALTERACAO DEBITO"/>
    <n v="9999"/>
    <x v="55"/>
    <s v="8.59"/>
    <s v="luciano"/>
    <s v="181 a 360"/>
    <s v="ACIONAMENTO"/>
    <x v="4"/>
  </r>
  <r>
    <s v="COGECOM"/>
    <n v="93992840"/>
    <s v="FABIO JUNIOR DE OLIVEIRA"/>
    <s v="OUT"/>
    <s v="OUTROS"/>
    <n v="2425970924"/>
    <x v="1"/>
    <s v="306.50"/>
    <s v="236.80"/>
    <n v="118"/>
    <s v="ACORDO VIGENTE COLCHÃO EM DIA"/>
    <s v="ACORDO VIGENTE COLCHÃO EM DIA"/>
    <n v="69"/>
    <x v="55"/>
    <s v="16.46"/>
    <s v="adrimpra"/>
    <s v="91 a 180"/>
    <s v="CPC"/>
    <x v="2"/>
  </r>
  <r>
    <s v="COGECOM"/>
    <n v="1550003103"/>
    <s v="ANITA PEREIRA DA SILVA"/>
    <s v="OUT"/>
    <s v="OUTROS"/>
    <n v="28124421153"/>
    <x v="0"/>
    <s v="695.98"/>
    <s v="184.76"/>
    <n v="141"/>
    <s v="ACORDO VIGENTE COLCHÃO EM DIA"/>
    <s v="GERAÇÃO DE ACORDO"/>
    <n v="69"/>
    <x v="55"/>
    <s v="17.29"/>
    <s v="peterson"/>
    <s v="91 a 180"/>
    <s v="CPC"/>
    <x v="2"/>
  </r>
  <r>
    <s v="COGECOM"/>
    <n v="75395789"/>
    <s v="WILLIAM PINTO DE FREITAS"/>
    <s v="OUT"/>
    <s v="OUTROS"/>
    <n v="3979421929"/>
    <x v="1"/>
    <s v="0.00"/>
    <s v="765.61"/>
    <n v="87"/>
    <s v="EM NEGOCIAÇÃO"/>
    <s v="NEGOCIAÇÃO VIA WHATSAPP"/>
    <n v="69"/>
    <x v="55"/>
    <s v="16.41"/>
    <s v="isabel"/>
    <s v="61 a 90"/>
    <s v="CPC"/>
    <x v="2"/>
  </r>
  <r>
    <s v="COGECOM"/>
    <n v="74460137"/>
    <s v="SANDRO MARCIO VERHAGEN"/>
    <s v="OUT"/>
    <s v="OUTROS"/>
    <n v="1591969905"/>
    <x v="0"/>
    <s v="434.68"/>
    <s v="206.99"/>
    <n v="95"/>
    <s v="AG RESPOSTA 1º CONTATO"/>
    <s v="GERAÇÃO DE ACORDO"/>
    <n v="70"/>
    <x v="55"/>
    <s v="10.28"/>
    <s v="cassia.a"/>
    <s v="91 a 180"/>
    <s v="CPC"/>
    <x v="4"/>
  </r>
  <r>
    <s v="COGECOM"/>
    <n v="37030043"/>
    <s v="Meire Andrea Fascio"/>
    <s v="OUT"/>
    <s v="OUTROS"/>
    <n v="85851213949"/>
    <x v="1"/>
    <s v="0.00"/>
    <s v="160.47"/>
    <n v="96"/>
    <s v="SEM INTERESSE"/>
    <s v="SEM INTERESSE"/>
    <n v="70"/>
    <x v="56"/>
    <s v="16.30"/>
    <s v="adrimpra"/>
    <s v="91 a 180"/>
    <s v="CPC"/>
    <x v="1"/>
  </r>
  <r>
    <s v="COGECOM"/>
    <n v="10022774910"/>
    <s v="FRANCISCA DE CARVALHO MARTINS"/>
    <s v="OUT"/>
    <s v="OUTROS"/>
    <n v="39719901187"/>
    <x v="0"/>
    <s v="291.90"/>
    <s v="142.54"/>
    <n v="216"/>
    <s v="SEM INTERESSE"/>
    <s v="SEM INTERESSE"/>
    <n v="77"/>
    <x v="56"/>
    <s v="16.03"/>
    <s v="adrimpra"/>
    <s v="181 a 360"/>
    <s v="CPC"/>
    <x v="1"/>
  </r>
  <r>
    <s v="COGECOM"/>
    <n v="103911286"/>
    <s v="LAERCIO APARECIDO TIROLTI"/>
    <s v="OUT"/>
    <s v="OUTROS"/>
    <n v="15866650819"/>
    <x v="1"/>
    <s v="0.00"/>
    <s v="142.36"/>
    <n v="125"/>
    <s v="EM NEGOCIAÇÃO"/>
    <s v="ALTERACAO DEBITO"/>
    <n v="84"/>
    <x v="57"/>
    <s v="10.35"/>
    <s v="luciano"/>
    <s v="91 a 180"/>
    <s v="ACIONAMENTO"/>
    <x v="2"/>
  </r>
  <r>
    <s v="COGECOM"/>
    <n v="3012706137"/>
    <s v="ANCELMO PINHEIRO DA SILVA"/>
    <s v="OUT"/>
    <s v="OUTROS"/>
    <n v="96750766668"/>
    <x v="0"/>
    <s v="439.35"/>
    <s v="124.17"/>
    <n v="208"/>
    <m/>
    <s v="GERAÇÃO DE ACORDO"/>
    <n v="9999"/>
    <x v="58"/>
    <s v="16.27"/>
    <s v="rafael"/>
    <s v="181 a 360"/>
    <s v="CPC"/>
    <x v="4"/>
  </r>
  <r>
    <s v="COGECOM"/>
    <n v="15559890"/>
    <s v="EVALDO FABIANO DE SOUZA QUEIROZ"/>
    <s v="OUT"/>
    <s v="OUTROS"/>
    <n v="98506102120"/>
    <x v="0"/>
    <s v="539.47"/>
    <s v="30.76"/>
    <n v="199"/>
    <s v="ACORDO VIGENTE COLCHÃO EM DIA"/>
    <s v="GERAÇÃO DE ACORDO"/>
    <n v="72"/>
    <x v="58"/>
    <s v="16.00"/>
    <s v="peterson"/>
    <s v="181 a 360"/>
    <s v="CPC"/>
    <x v="2"/>
  </r>
  <r>
    <s v="COGECOM"/>
    <n v="10006425338"/>
    <s v="RODRIGO FERREIRA DE OLIVEIRA"/>
    <s v="OUT"/>
    <s v="OUTROS"/>
    <n v="4231993157"/>
    <x v="0"/>
    <s v="1270.57"/>
    <s v="126.25"/>
    <n v="343"/>
    <s v="ACORDO VIGENTE COLCHÃO EM DIA"/>
    <s v="ACORDO VIGENTE COLCHÃO EM DIA"/>
    <n v="72"/>
    <x v="58"/>
    <s v="15.44"/>
    <s v="adrimpra"/>
    <s v="181 a 360"/>
    <s v="CPC"/>
    <x v="2"/>
  </r>
  <r>
    <s v="COGECOM"/>
    <n v="33500703"/>
    <s v="YURI HENRIQUE DOMINGUES PEREIRA"/>
    <s v="OUT"/>
    <s v="OUTROS"/>
    <n v="23885258889"/>
    <x v="1"/>
    <s v="0.00"/>
    <s v="254.58"/>
    <n v="122"/>
    <s v="SEM INTERESSE"/>
    <s v="SEM INTERESSE"/>
    <n v="72"/>
    <x v="58"/>
    <s v="16.33"/>
    <s v="isabel"/>
    <s v="91 a 180"/>
    <s v="CPC"/>
    <x v="1"/>
  </r>
  <r>
    <s v="COGECOM"/>
    <n v="21164381"/>
    <s v="EDILMA SANCHES DE ABREU TOME"/>
    <s v="OUT"/>
    <s v="OUTROS"/>
    <n v="189937106"/>
    <x v="1"/>
    <s v="0.00"/>
    <s v="230.65"/>
    <n v="140"/>
    <s v="COBRANÇA SUSPENSA"/>
    <s v="ALTERACAO DEBITO"/>
    <n v="72"/>
    <x v="58"/>
    <s v="17.09"/>
    <s v="luciano"/>
    <s v="91 a 180"/>
    <s v="ACIONAMENTO"/>
    <x v="4"/>
  </r>
  <r>
    <s v="COGECOM"/>
    <n v="38045753"/>
    <s v="LUIS CARLOS MEDEIROS JUNIOR"/>
    <s v="OUT"/>
    <s v="OUTROS"/>
    <n v="40602064821"/>
    <x v="1"/>
    <s v="0.00"/>
    <s v="227.84"/>
    <n v="122"/>
    <s v="EM NEGOCIAÇÃO"/>
    <s v="NEGOCIAÇÃO VIA WHATSAPP"/>
    <n v="72"/>
    <x v="58"/>
    <s v="15.14"/>
    <s v="rafael"/>
    <s v="91 a 180"/>
    <s v="CPC"/>
    <x v="2"/>
  </r>
  <r>
    <s v="COGECOM"/>
    <n v="49301782"/>
    <s v="Jandiara Formanski Pavei"/>
    <s v="OUT"/>
    <s v="OUTROS"/>
    <n v="4512184937"/>
    <x v="1"/>
    <s v="0.00"/>
    <s v="202.57"/>
    <n v="131"/>
    <s v="SEM INTERESSE"/>
    <s v="SEM INTERESSE"/>
    <n v="72"/>
    <x v="58"/>
    <s v="16.02"/>
    <s v="adrimpra"/>
    <s v="91 a 180"/>
    <s v="CPC"/>
    <x v="1"/>
  </r>
  <r>
    <s v="COGECOM"/>
    <n v="103493433"/>
    <s v="So What Comunicacao Ltda"/>
    <s v="OUT"/>
    <s v="OUTROS"/>
    <n v="23131978000198"/>
    <x v="1"/>
    <s v="0.00"/>
    <s v="183.21"/>
    <n v="125"/>
    <s v="SEM INTERESSE"/>
    <s v="RECADO COM"/>
    <n v="72"/>
    <x v="58"/>
    <s v="15.32"/>
    <s v="adrimpra"/>
    <s v="91 a 180"/>
    <s v="ACIONAMENTO"/>
    <x v="1"/>
  </r>
  <r>
    <s v="COGECOM"/>
    <n v="44347393"/>
    <s v="VIVIANE GASPERI PEREIRA"/>
    <s v="OUT"/>
    <s v="OUTROS"/>
    <n v="7744851919"/>
    <x v="0"/>
    <s v="169.85"/>
    <s v="0.57"/>
    <n v="118"/>
    <m/>
    <s v="ALTERACAO DEBITO"/>
    <n v="9999"/>
    <x v="58"/>
    <s v="15.40"/>
    <s v="luciano"/>
    <s v="91 a 180"/>
    <s v="ACIONAMENTO"/>
    <x v="4"/>
  </r>
  <r>
    <s v="COGECOM"/>
    <n v="22290389"/>
    <s v="Ana Roseli Portugal Portes Pedroso"/>
    <s v="OUT"/>
    <s v="OUTROS"/>
    <n v="18645585987"/>
    <x v="1"/>
    <s v="0.00"/>
    <s v="164.35"/>
    <n v="96"/>
    <s v="SEM INTERESSE"/>
    <s v="NEGOCIAÇÃO VIA TELEFONE"/>
    <n v="72"/>
    <x v="58"/>
    <s v="16.06"/>
    <s v="rafael"/>
    <s v="91 a 180"/>
    <s v="CPC"/>
    <x v="1"/>
  </r>
  <r>
    <s v="COGECOM"/>
    <n v="3003239025"/>
    <s v="DAVIDSON FLAVIO LACERDA SALVADOR"/>
    <s v="OUT"/>
    <s v="OUTROS"/>
    <n v="1443036633"/>
    <x v="0"/>
    <s v="538.90"/>
    <s v="109.32"/>
    <n v="163"/>
    <s v="EM NEGOCIAÇÃO"/>
    <s v="NEGOCIAÇÃO VIA TELEFONE"/>
    <n v="76"/>
    <x v="59"/>
    <s v="14.33"/>
    <s v="rafael"/>
    <s v="91 a 180"/>
    <s v="CPC"/>
    <x v="2"/>
  </r>
  <r>
    <s v="COGECOM"/>
    <n v="110218132"/>
    <s v="CLAUDIO HENRIQUE DE MATTOS"/>
    <s v="OUT"/>
    <s v="OUTROS"/>
    <n v="3721687957"/>
    <x v="1"/>
    <s v="0.00"/>
    <s v="307.03"/>
    <n v="127"/>
    <s v="AG RESPOSTA 1º CONTATO"/>
    <s v="ENVIADO MSG/E-MAIL 1º CONTATO"/>
    <n v="76"/>
    <x v="59"/>
    <s v="16.33"/>
    <s v="cassia.a"/>
    <s v="91 a 180"/>
    <s v="ACIONAMENTO"/>
    <x v="4"/>
  </r>
  <r>
    <s v="COGECOM"/>
    <n v="10023842324"/>
    <s v="CYNTHIA CAROLINE DE BESSA"/>
    <s v="OUT"/>
    <s v="OUTROS"/>
    <n v="58838147"/>
    <x v="0"/>
    <s v="0.00"/>
    <s v="221.40"/>
    <n v="140"/>
    <m/>
    <s v="ALTERACAO DEBITO"/>
    <n v="9999"/>
    <x v="59"/>
    <s v="9.48"/>
    <s v="luciano"/>
    <s v="91 a 180"/>
    <s v="ACIONAMENTO"/>
    <x v="4"/>
  </r>
  <r>
    <s v="COGECOM"/>
    <n v="10025636020"/>
    <s v="REGINA BORGES GRAEFF"/>
    <s v="OUT"/>
    <s v="OUTROS"/>
    <n v="3298222178"/>
    <x v="0"/>
    <s v="482.75"/>
    <s v="174.49"/>
    <n v="128"/>
    <m/>
    <s v="GERAÇÃO DE ACORDO"/>
    <n v="9999"/>
    <x v="59"/>
    <s v="14.54"/>
    <s v="rafael"/>
    <s v="91 a 180"/>
    <s v="CPC"/>
    <x v="4"/>
  </r>
  <r>
    <s v="COGECOM"/>
    <n v="81849214"/>
    <s v="CAROLINA MICHEL VICENTE"/>
    <s v="OUT"/>
    <s v="OUTROS"/>
    <n v="8833692906"/>
    <x v="0"/>
    <s v="30.88"/>
    <s v="71.89"/>
    <n v="170"/>
    <m/>
    <s v="00001 - BAIXA POR PAGAMENTO"/>
    <n v="9999"/>
    <x v="60"/>
    <s v="11.13"/>
    <s v="luciano"/>
    <s v="91 a 180"/>
    <s v="ACIONAMENTO"/>
    <x v="4"/>
  </r>
  <r>
    <s v="COGECOM"/>
    <n v="97499153"/>
    <s v="Eloisa Maria Dorneles Batista Goncales"/>
    <s v="OUT"/>
    <s v="OUTROS"/>
    <n v="4131885662"/>
    <x v="1"/>
    <s v="0.00"/>
    <s v="55.36"/>
    <n v="132"/>
    <m/>
    <s v="00001 - BAIXA POR PAGAMENTO"/>
    <n v="9999"/>
    <x v="60"/>
    <s v="11.17"/>
    <s v="luciano"/>
    <s v="91 a 180"/>
    <s v="ACIONAMENTO"/>
    <x v="4"/>
  </r>
  <r>
    <s v="COGECOM"/>
    <n v="10032533363"/>
    <s v="ANTONIO SERGIO DOS SANTOS NUNES"/>
    <s v="OUT"/>
    <s v="OUTROS"/>
    <n v="69948828453"/>
    <x v="0"/>
    <s v="1637.50"/>
    <s v="162.20"/>
    <n v="304"/>
    <s v="EM NEGOCIAÇÃO"/>
    <s v="NEGOCIAÇÃO VIA WHATSAPP"/>
    <n v="82"/>
    <x v="61"/>
    <s v="8.45"/>
    <s v="roberto"/>
    <s v="181 a 360"/>
    <s v="CPC"/>
    <x v="2"/>
  </r>
  <r>
    <s v="COGECOM"/>
    <n v="89492242"/>
    <s v="WILSON BINELI"/>
    <s v="OUT"/>
    <s v="OUTROS"/>
    <n v="3401712942"/>
    <x v="1"/>
    <s v="304.18"/>
    <s v="172.43"/>
    <n v="186"/>
    <s v="ACORDO VIGENTE COLCHÃO EM DIA"/>
    <s v="ACORDO VIGENTE COLCHÃO EM DIA"/>
    <n v="83"/>
    <x v="62"/>
    <s v="9.59"/>
    <s v="adrimpra"/>
    <s v="181 a 360"/>
    <s v="CPC"/>
    <x v="2"/>
  </r>
  <r>
    <s v="COGECOM"/>
    <n v="103260129"/>
    <s v="EVANDRO FRANCISCO JUNGBLUTH"/>
    <s v="OUT"/>
    <s v="OUTROS"/>
    <n v="2922416909"/>
    <x v="1"/>
    <s v="0.00"/>
    <s v="230.47"/>
    <n v="156"/>
    <s v="SEM INTERESSE"/>
    <s v="SEM INTERESSE"/>
    <n v="84"/>
    <x v="63"/>
    <s v="14.31"/>
    <s v="isabel"/>
    <s v="91 a 180"/>
    <s v="CPC"/>
    <x v="1"/>
  </r>
  <r>
    <s v="COGECOM"/>
    <n v="3012373092"/>
    <s v="BRENO CAMINHA DE OLIVEIRA RIBEIRO"/>
    <s v="OUT"/>
    <s v="OUTROS"/>
    <n v="6044633675"/>
    <x v="0"/>
    <s v="743.97"/>
    <s v="79.81"/>
    <n v="153"/>
    <s v="ACORDO VIGENTE COLCHÃO EM DIA"/>
    <s v="ACORDO VIGENTE COLCHÃO EM DIA"/>
    <n v="84"/>
    <x v="63"/>
    <s v="16.28"/>
    <s v="isabel"/>
    <s v="91 a 180"/>
    <s v="CPC"/>
    <x v="2"/>
  </r>
  <r>
    <s v="COGECOM"/>
    <n v="10032713558"/>
    <s v="BRUNO IGOR FERREIRA DE LIMA SILVA"/>
    <s v="OUT"/>
    <s v="OUTROS"/>
    <n v="4206779171"/>
    <x v="0"/>
    <s v="446.09"/>
    <s v="95.83"/>
    <n v="141"/>
    <s v="EM NEGOCIAÇÃO"/>
    <s v="NEGOCIAÇÃO VIA WHATSAPP"/>
    <n v="84"/>
    <x v="63"/>
    <s v="15.43"/>
    <s v="rafael"/>
    <s v="91 a 180"/>
    <s v="CPC"/>
    <x v="2"/>
  </r>
  <r>
    <s v="COGECOM"/>
    <n v="10018883484"/>
    <s v="ELITON CORREA DA CRUZ"/>
    <s v="OUT"/>
    <s v="OUTROS"/>
    <n v="80651240620"/>
    <x v="1"/>
    <s v="0.00"/>
    <s v="744.97"/>
    <n v="141"/>
    <s v="SEM INTERESSE"/>
    <s v="SEM INTERESSE"/>
    <n v="89"/>
    <x v="64"/>
    <s v="14.08"/>
    <s v="peterson"/>
    <s v="91 a 180"/>
    <s v="CPC"/>
    <x v="1"/>
  </r>
  <r>
    <s v="COGECOM"/>
    <n v="13330110"/>
    <s v="AMAURI PEREIRA PINTO"/>
    <s v="OUT"/>
    <s v="OUTROS"/>
    <n v="23463317915"/>
    <x v="1"/>
    <s v="0.00"/>
    <s v="270.35"/>
    <n v="128"/>
    <s v="SEM INTERESSE"/>
    <s v="SEM INTERESSE"/>
    <n v="89"/>
    <x v="64"/>
    <s v="14.20"/>
    <s v="adrimpra"/>
    <s v="91 a 180"/>
    <s v="CPC"/>
    <x v="1"/>
  </r>
  <r>
    <s v="COGECOM"/>
    <n v="10018069639"/>
    <s v="LEIDYANNA GOMES DE AGUIAR TOME"/>
    <s v="OUT"/>
    <s v="OUTROS"/>
    <n v="808961110"/>
    <x v="1"/>
    <s v="0.00"/>
    <s v="146.57"/>
    <n v="139"/>
    <s v="SEM INTERESSE"/>
    <s v="SEM INTERESSE"/>
    <n v="89"/>
    <x v="64"/>
    <s v="14.39"/>
    <s v="adrimpra"/>
    <s v="91 a 180"/>
    <s v="CPC"/>
    <x v="1"/>
  </r>
  <r>
    <s v="COGECOM"/>
    <n v="104149647"/>
    <s v="Marcos Vinicius Angelo da Silva"/>
    <s v="OUT"/>
    <s v="OUTROS"/>
    <n v="9144638612"/>
    <x v="1"/>
    <s v="0.00"/>
    <s v="173.18"/>
    <n v="633"/>
    <m/>
    <s v="ALTERACAO DEBITO"/>
    <n v="9999"/>
    <x v="65"/>
    <s v="11.08"/>
    <s v="luciano"/>
    <s v="Acima de 361"/>
    <s v="ACIONAMENTO"/>
    <x v="4"/>
  </r>
  <r>
    <s v="COGECOM"/>
    <n v="1220014180"/>
    <s v="MARIA APARECIDA PEIXOTO DA SILVA"/>
    <s v="OUT"/>
    <s v="OUTROS"/>
    <n v="78379504100"/>
    <x v="1"/>
    <s v="86.58"/>
    <s v="30.76"/>
    <n v="188"/>
    <m/>
    <s v="ALTERACAO DEBITO"/>
    <n v="9999"/>
    <x v="65"/>
    <s v="11.06"/>
    <s v="luciano"/>
    <s v="181 a 360"/>
    <s v="ACIONAMENTO"/>
    <x v="4"/>
  </r>
  <r>
    <s v="COGECOM"/>
    <n v="1280004414"/>
    <s v="VILMACI PEREIRA"/>
    <s v="OUT"/>
    <s v="OUTROS"/>
    <n v="28737709100"/>
    <x v="0"/>
    <s v="694.01"/>
    <s v="48.25"/>
    <n v="343"/>
    <s v="EM NEGOCIAÇÃO"/>
    <s v="NEGOCIAÇÃO VIA WHATSAPP"/>
    <n v="92"/>
    <x v="65"/>
    <s v="10.33"/>
    <s v="roberto"/>
    <s v="181 a 360"/>
    <s v="CPC"/>
    <x v="2"/>
  </r>
  <r>
    <s v="COGECOM"/>
    <n v="58404031"/>
    <s v="JULIO CESAR VAVOLIZZA"/>
    <s v="OUT"/>
    <s v="OUTROS"/>
    <n v="13926953845"/>
    <x v="1"/>
    <s v="0.00"/>
    <s v="207.38"/>
    <n v="172"/>
    <m/>
    <s v="ALTERACAO DEBITO"/>
    <n v="9999"/>
    <x v="66"/>
    <s v="9.58"/>
    <s v="luciano"/>
    <s v="91 a 180"/>
    <s v="ACIONAMENTO"/>
    <x v="4"/>
  </r>
  <r>
    <s v="COGECOM"/>
    <n v="44922070"/>
    <s v="Guilherme Cristofer Freiberg"/>
    <s v="OUT"/>
    <s v="OUTROS"/>
    <n v="7828830955"/>
    <x v="1"/>
    <s v="0.00"/>
    <s v="328.88"/>
    <n v="212"/>
    <s v="EM NEGOCIAÇÃO"/>
    <s v="ALTERACAO DEBITO"/>
    <n v="104"/>
    <x v="67"/>
    <s v="16.55"/>
    <s v="elizabel"/>
    <s v="181 a 360"/>
    <s v="ACIONAMENTO"/>
    <x v="2"/>
  </r>
  <r>
    <s v="COGECOM"/>
    <n v="981770"/>
    <s v="ARMANDO RUY E CIA LTDA"/>
    <s v="OUT"/>
    <s v="OUTROS"/>
    <n v="78369311000110"/>
    <x v="1"/>
    <s v="0.00"/>
    <s v="1390.18"/>
    <n v="1217"/>
    <s v="EM NEGOCIAÇÃO"/>
    <s v="NEGOCIAÇÃO VIA WHATSAPP"/>
    <n v="99"/>
    <x v="68"/>
    <s v="9.53"/>
    <s v="roberto"/>
    <s v="Acima de 361"/>
    <s v="CPC"/>
    <x v="2"/>
  </r>
  <r>
    <s v="COGECOM"/>
    <n v="94077932"/>
    <s v="Fabrício Ziemer da Cruz"/>
    <s v="OUT"/>
    <s v="OUTROS"/>
    <n v="2671272944"/>
    <x v="1"/>
    <s v="0.00"/>
    <s v="119.88"/>
    <n v="254"/>
    <m/>
    <s v="ALTERACAO DEBITO"/>
    <n v="9999"/>
    <x v="68"/>
    <s v="13.47"/>
    <s v="luciano"/>
    <s v="181 a 360"/>
    <s v="ACIONAMENTO"/>
    <x v="4"/>
  </r>
  <r>
    <s v="COGECOM"/>
    <n v="52003245"/>
    <s v="Luis Claudio dos Reis Leal"/>
    <s v="OUT"/>
    <s v="OUTROS"/>
    <n v="37269119015"/>
    <x v="1"/>
    <s v="0.00"/>
    <s v="34.93"/>
    <n v="412"/>
    <m/>
    <s v="ALTERACAO DEBITO"/>
    <n v="9999"/>
    <x v="68"/>
    <s v="13.44"/>
    <s v="luciano"/>
    <s v="Acima de 361"/>
    <s v="ACIONAMENTO"/>
    <x v="4"/>
  </r>
  <r>
    <s v="COGECOM"/>
    <n v="3014281566"/>
    <s v="NATALIA GIORA CORRENTE"/>
    <s v="OUT"/>
    <s v="OUTROS"/>
    <n v="7249419676"/>
    <x v="1"/>
    <s v="0.00"/>
    <s v="126.20"/>
    <n v="193"/>
    <m/>
    <s v="ALTERACAO DEBITO"/>
    <n v="9999"/>
    <x v="68"/>
    <s v="13.43"/>
    <s v="luciano"/>
    <s v="181 a 360"/>
    <s v="ACIONAMENTO"/>
    <x v="4"/>
  </r>
  <r>
    <s v="COGECOM"/>
    <n v="52291992"/>
    <s v="Sueli Demarchi"/>
    <s v="OUT"/>
    <s v="OUTROS"/>
    <n v="3301894925"/>
    <x v="1"/>
    <s v="0.00"/>
    <s v="146.08"/>
    <n v="340"/>
    <s v="ACORDO VIGENTE COLCHÃO EM DIA"/>
    <s v="ALTERACAO DEBITO"/>
    <n v="105"/>
    <x v="68"/>
    <s v="13.42"/>
    <s v="luciano"/>
    <s v="181 a 360"/>
    <s v="ACIONAMENTO"/>
    <x v="2"/>
  </r>
  <r>
    <s v="COGECOM"/>
    <n v="87603837"/>
    <s v="Alex Henrique Nadolny"/>
    <s v="OUT"/>
    <s v="OUTROS"/>
    <n v="6742103957"/>
    <x v="1"/>
    <s v="0.00"/>
    <s v="557.64"/>
    <n v="731"/>
    <s v="EM NEGOCIAÇÃO"/>
    <s v="ALTERACAO DEBITO"/>
    <n v="106"/>
    <x v="68"/>
    <s v="13.50"/>
    <s v="luciano"/>
    <s v="Acima de 361"/>
    <s v="ACIONAMENTO"/>
    <x v="2"/>
  </r>
  <r>
    <s v="COGECOM"/>
    <n v="20040301"/>
    <s v="FABIO PIRES CAMILO"/>
    <s v="OUT"/>
    <s v="OUTROS"/>
    <n v="49178032172"/>
    <x v="1"/>
    <s v="0.00"/>
    <s v="142.12"/>
    <n v="142"/>
    <m/>
    <s v="ALTERACAO DEBITO"/>
    <n v="9999"/>
    <x v="68"/>
    <s v="13.45"/>
    <s v="luciano"/>
    <s v="91 a 180"/>
    <s v="ACIONAMENTO"/>
    <x v="4"/>
  </r>
  <r>
    <s v="COGECOM"/>
    <n v="10018592412"/>
    <s v="FERNANDA SOUSA MARQUES"/>
    <s v="OUT"/>
    <s v="OUTROS"/>
    <n v="246617160"/>
    <x v="1"/>
    <s v="0.00"/>
    <s v="73.37"/>
    <n v="170"/>
    <m/>
    <s v="ALTERACAO DEBITO"/>
    <n v="9999"/>
    <x v="68"/>
    <s v="13.51"/>
    <s v="luciano"/>
    <s v="91 a 180"/>
    <s v="ACIONAMENTO"/>
    <x v="4"/>
  </r>
  <r>
    <s v="COGECOM"/>
    <n v="3082234734"/>
    <s v="WAGNER GUILHERME COSTA"/>
    <s v="OUT"/>
    <s v="OUTROS"/>
    <n v="374904006"/>
    <x v="1"/>
    <s v="0.00"/>
    <s v="32.56"/>
    <n v="169"/>
    <m/>
    <s v="ALTERACAO DEBITO"/>
    <n v="9999"/>
    <x v="68"/>
    <s v="13.51"/>
    <s v="luciano"/>
    <s v="91 a 180"/>
    <s v="ACIONAMENTO"/>
    <x v="4"/>
  </r>
  <r>
    <s v="COGECOM"/>
    <n v="3093268152"/>
    <s v="SABRINA DE DAVID"/>
    <s v="OUT"/>
    <s v="OUTROS"/>
    <n v="96253746049"/>
    <x v="0"/>
    <s v="701.73"/>
    <s v="92.34"/>
    <n v="158"/>
    <s v="EM NEGOCIAÇÃO"/>
    <s v="ALTERACAO DEBITO"/>
    <n v="107"/>
    <x v="68"/>
    <s v="13.49"/>
    <s v="luciano"/>
    <s v="91 a 180"/>
    <s v="ACIONAMENTO"/>
    <x v="2"/>
  </r>
  <r>
    <s v="COGECOM"/>
    <n v="30585674"/>
    <s v="Andrea de Amorim Clemes"/>
    <s v="OUT"/>
    <s v="OUTROS"/>
    <n v="59147458968"/>
    <x v="1"/>
    <s v="0.00"/>
    <s v="27.01"/>
    <n v="382"/>
    <s v="EM NEGOCIAÇÃO"/>
    <s v="ALTERACAO DEBITO"/>
    <n v="106"/>
    <x v="69"/>
    <s v="14.40"/>
    <s v="elizabel"/>
    <s v="Acima de 361"/>
    <s v="ACIONAMENTO"/>
    <x v="2"/>
  </r>
  <r>
    <s v="COGECOM"/>
    <n v="93605633"/>
    <s v="FABÍOLA ZALITS E SILVA"/>
    <s v="OUT"/>
    <s v="OUTROS"/>
    <n v="758675917"/>
    <x v="0"/>
    <s v="409.05"/>
    <s v="409.05"/>
    <n v="666"/>
    <s v="SEM INTERESSE"/>
    <s v="SEM INTERESSE"/>
    <n v="9999"/>
    <x v="69"/>
    <s v="14.49"/>
    <s v="luciano"/>
    <s v="Acima de 361"/>
    <s v="CPC"/>
    <x v="1"/>
  </r>
  <r>
    <s v="COGECOM"/>
    <n v="104604840"/>
    <s v="C7 PROJETOS E SERVICOS ADMINISTRATIVOS LTDA"/>
    <s v="OUT"/>
    <s v="OUTROS"/>
    <n v="15798296000105"/>
    <x v="0"/>
    <s v="695.10"/>
    <s v="329.57"/>
    <n v="196"/>
    <s v="EM NEGOCIAÇÃO"/>
    <s v="NEGOCIAÇÃO VIA WHATSAPP"/>
    <n v="105"/>
    <x v="70"/>
    <s v="14.16"/>
    <s v="roberto"/>
    <s v="181 a 360"/>
    <s v="CPC"/>
    <x v="2"/>
  </r>
  <r>
    <s v="COGECOM"/>
    <n v="50246256"/>
    <s v="Rodrigo Schuller"/>
    <s v="OUT"/>
    <s v="OUTROS"/>
    <n v="5755871990"/>
    <x v="1"/>
    <s v="0.00"/>
    <s v="155.88"/>
    <n v="144"/>
    <s v="ACORDO VIGENTE COLCHÃO EM DIA"/>
    <s v="ALTERACAO DEBITO"/>
    <n v="107"/>
    <x v="71"/>
    <s v="16.29"/>
    <s v="elizabel"/>
    <s v="91 a 180"/>
    <s v="ACIONAMENTO"/>
    <x v="2"/>
  </r>
  <r>
    <s v="COGECOM"/>
    <n v="10001050980"/>
    <s v="EVELIN DE SOUZA SANTOS"/>
    <s v="OUT"/>
    <s v="OUTROS"/>
    <n v="4255727147"/>
    <x v="1"/>
    <s v="117.66"/>
    <s v="56.81"/>
    <n v="189"/>
    <s v="EM NEGOCIAÇÃO"/>
    <s v="NEGOCIAÇÃO VIA WHATSAPP"/>
    <n v="9999"/>
    <x v="72"/>
    <s v="13.37"/>
    <s v="luciano"/>
    <s v="181 a 360"/>
    <s v="CPC"/>
    <x v="2"/>
  </r>
  <r>
    <s v="COGECOM"/>
    <n v="10024837952"/>
    <s v="GRASIELLE DE SA GOMES TAVEIRA RANGEL"/>
    <s v="OUT"/>
    <s v="OUTROS"/>
    <n v="3998796681"/>
    <x v="1"/>
    <s v="94.43"/>
    <s v="73.29"/>
    <n v="198"/>
    <s v="EM NEGOCIAÇÃO"/>
    <s v="NEGOCIAÇÃO VIA WHATSAPP"/>
    <n v="9999"/>
    <x v="72"/>
    <s v="13.19"/>
    <s v="luciano"/>
    <s v="181 a 360"/>
    <s v="CPC"/>
    <x v="2"/>
  </r>
  <r>
    <s v="COGECOM"/>
    <n v="400033483"/>
    <s v="CLAUDINE GONCALVES DE FARIA"/>
    <s v="OUT"/>
    <s v="OUTROS"/>
    <n v="40303527153"/>
    <x v="1"/>
    <s v="0.00"/>
    <s v="157.98"/>
    <n v="158"/>
    <m/>
    <s v="ALTERACAO DEBITO"/>
    <n v="9999"/>
    <x v="72"/>
    <s v="13.30"/>
    <s v="luciano"/>
    <s v="91 a 180"/>
    <s v="ACIONAMENTO"/>
    <x v="4"/>
  </r>
  <r>
    <s v="COGECOM"/>
    <n v="1390019424"/>
    <s v="SUEILA ALMEIDA MENDES OLIVEIRA"/>
    <s v="OUT"/>
    <s v="OUTROS"/>
    <n v="92175970159"/>
    <x v="0"/>
    <s v="927.62"/>
    <s v="394.93"/>
    <n v="151"/>
    <s v="COBRANÇA SUSPENSA"/>
    <s v="COBRANÇA SUSPENSA"/>
    <n v="9999"/>
    <x v="72"/>
    <s v="13.12"/>
    <s v="luciano"/>
    <s v="91 a 180"/>
    <s v="ACIONAMENTO"/>
    <x v="4"/>
  </r>
  <r>
    <s v="COGECOM"/>
    <n v="10029759160"/>
    <s v="DEIVID ANDRADE MACEDO"/>
    <s v="OUT"/>
    <s v="OUTROS"/>
    <n v="3174037107"/>
    <x v="1"/>
    <s v="196.98"/>
    <s v="196.98"/>
    <n v="141"/>
    <s v="EM NEGOCIAÇÃO"/>
    <s v="NEGOCIAÇÃO VIA WHATSAPP"/>
    <n v="9999"/>
    <x v="72"/>
    <s v="13.21"/>
    <s v="luciano"/>
    <s v="91 a 180"/>
    <s v="CPC"/>
    <x v="2"/>
  </r>
  <r>
    <s v="COGECOM"/>
    <n v="67928919"/>
    <s v="Rafael Abrão"/>
    <s v="OUT"/>
    <s v="OUTROS"/>
    <n v="5512279904"/>
    <x v="1"/>
    <s v="254.74"/>
    <s v="254.74"/>
    <n v="253"/>
    <s v="EM NEGOCIAÇÃO"/>
    <s v="NEGOCIAÇÃO VIA WHATSAPP"/>
    <n v="107"/>
    <x v="72"/>
    <s v="16.01"/>
    <s v="roberto"/>
    <s v="181 a 360"/>
    <s v="CPC"/>
    <x v="2"/>
  </r>
  <r>
    <s v="COGECOM"/>
    <n v="93007035"/>
    <s v="Emerson Moura"/>
    <s v="OUT"/>
    <s v="OUTROS"/>
    <n v="17563563865"/>
    <x v="1"/>
    <s v="449.39"/>
    <s v="449.39"/>
    <n v="148"/>
    <s v="EM NEGOCIAÇÃO"/>
    <s v="NEGOCIAÇÃO VIA WHATSAPP"/>
    <n v="107"/>
    <x v="72"/>
    <s v="17.14"/>
    <s v="roberto"/>
    <s v="91 a 180"/>
    <s v="CPC"/>
    <x v="2"/>
  </r>
  <r>
    <s v="COGECOM"/>
    <n v="27927289"/>
    <s v="MAICON WILLIANS LOPES FARIAS"/>
    <s v="OUT"/>
    <s v="OUTROS"/>
    <n v="1179937945"/>
    <x v="0"/>
    <s v="5114.69"/>
    <s v="976.06"/>
    <n v="752"/>
    <s v="EM NEGOCIAÇÃO"/>
    <s v="NEGOCIAÇÃO VIA WHATSAPP"/>
    <n v="114"/>
    <x v="72"/>
    <s v="13.25"/>
    <s v="roberto"/>
    <s v="Acima de 361"/>
    <s v="CPC"/>
    <x v="2"/>
  </r>
  <r>
    <s v="COGECOM"/>
    <n v="19064152"/>
    <s v="BRAYAN RIGO BITELLO PEDRO"/>
    <s v="OUT"/>
    <s v="OUTROS"/>
    <n v="1090765916"/>
    <x v="1"/>
    <s v="0.00"/>
    <s v="4213.68"/>
    <n v="1241"/>
    <s v="EM NEGOCIAÇÃO"/>
    <s v="ALTERACAO DEBITO"/>
    <n v="139"/>
    <x v="73"/>
    <s v="14.05"/>
    <s v="elizabel"/>
    <s v="Acima de 361"/>
    <s v="ACIONAMENTO"/>
    <x v="2"/>
  </r>
  <r>
    <s v="COGECOM"/>
    <n v="14312300"/>
    <s v="JOANA DARC BORGES DOS SANTOS"/>
    <s v="OUT"/>
    <s v="OUTROS"/>
    <n v="47241373120"/>
    <x v="1"/>
    <s v="235.05"/>
    <s v="43.25"/>
    <n v="329"/>
    <s v="EM NEGOCIAÇÃO"/>
    <s v="NEGOCIAÇÃO VIA WHATSAPP"/>
    <n v="124"/>
    <x v="74"/>
    <s v="11.51"/>
    <s v="roberto"/>
    <s v="181 a 360"/>
    <s v="CPC"/>
    <x v="2"/>
  </r>
  <r>
    <s v="COGECOM"/>
    <n v="610228780"/>
    <s v="MARLUCE FERREIRA LIMA VAZ"/>
    <s v="OUT"/>
    <s v="OUTROS"/>
    <n v="52386155153"/>
    <x v="0"/>
    <s v="1123.30"/>
    <s v="169.21"/>
    <n v="192"/>
    <s v="EM NEGOCIAÇÃO"/>
    <s v="NEGOCIAÇÃO VIA WHATSAPP"/>
    <n v="124"/>
    <x v="74"/>
    <s v="11.59"/>
    <s v="roberto"/>
    <s v="181 a 360"/>
    <s v="CPC"/>
    <x v="2"/>
  </r>
  <r>
    <s v="COGECOM"/>
    <n v="10004690069"/>
    <s v="VAGNER FERREIRA DA SILVA"/>
    <s v="OUT"/>
    <s v="OUTROS"/>
    <n v="9261317707"/>
    <x v="0"/>
    <s v="1920.41"/>
    <s v="129.75"/>
    <n v="322"/>
    <s v="EM NEGOCIAÇÃO"/>
    <s v="NEGOCIAÇÃO VIA WHATSAPP"/>
    <n v="124"/>
    <x v="74"/>
    <s v="11.42"/>
    <s v="roberto"/>
    <s v="181 a 360"/>
    <s v="CPC"/>
    <x v="2"/>
  </r>
  <r>
    <s v="COGECOM"/>
    <n v="8744920"/>
    <s v="LUCIANO JAQUES"/>
    <s v="OUT"/>
    <s v="OUTROS"/>
    <n v="2831714990"/>
    <x v="0"/>
    <s v="706.97"/>
    <s v="206.65"/>
    <n v="410"/>
    <s v="EM NEGOCIAÇÃO"/>
    <s v="NEGOCIAÇÃO VIA WHATSAPP"/>
    <n v="124"/>
    <x v="74"/>
    <s v="11.41"/>
    <s v="roberto"/>
    <s v="Acima de 361"/>
    <s v="CPC"/>
    <x v="2"/>
  </r>
  <r>
    <s v="COGECOM"/>
    <n v="106622994"/>
    <s v="SANDRO LUIS CARRARO"/>
    <s v="OUT"/>
    <s v="OUTROS"/>
    <n v="2260481957"/>
    <x v="0"/>
    <s v="493.28"/>
    <s v="159.82"/>
    <n v="171"/>
    <s v="EM NEGOCIAÇÃO"/>
    <s v="NEGOCIAÇÃO VIA WHATSAPP"/>
    <n v="124"/>
    <x v="74"/>
    <s v="11.46"/>
    <s v="roberto"/>
    <s v="91 a 180"/>
    <s v="CPC"/>
    <x v="2"/>
  </r>
  <r>
    <s v="COGECOM"/>
    <n v="67575234"/>
    <s v="Bruno Einloft Pereira"/>
    <s v="OUT"/>
    <s v="OUTROS"/>
    <n v="3681228914"/>
    <x v="1"/>
    <s v="0.00"/>
    <s v="332.47"/>
    <n v="197"/>
    <m/>
    <s v="GERAÇÃO DE ACORDO"/>
    <n v="9999"/>
    <x v="75"/>
    <s v="13.33"/>
    <s v="roberto"/>
    <s v="181 a 360"/>
    <s v="CPC"/>
    <x v="4"/>
  </r>
  <r>
    <s v="COGECOM"/>
    <n v="18318754"/>
    <s v="ELISANGELA DOS SANTOS KOTACHO DA SILVA"/>
    <s v="OUT"/>
    <s v="OUTROS"/>
    <n v="2631649931"/>
    <x v="0"/>
    <s v="469.04"/>
    <s v="91.00"/>
    <n v="197"/>
    <s v="EM NEGOCIAÇÃO"/>
    <s v="NEGOCIAÇÃO VIA WHATSAPP"/>
    <n v="126"/>
    <x v="75"/>
    <s v="15.35"/>
    <s v="roberto"/>
    <s v="181 a 360"/>
    <s v="CPC"/>
    <x v="2"/>
  </r>
  <r>
    <s v="COGECOM"/>
    <n v="3010519629"/>
    <s v="ATANAN ANDRADE PEREIRA JUNIOR"/>
    <s v="OUT"/>
    <s v="OUTROS"/>
    <n v="11089406681"/>
    <x v="0"/>
    <s v="221.84"/>
    <s v="72.46"/>
    <n v="268"/>
    <m/>
    <s v="GERAÇÃO DE ACORDO"/>
    <n v="9999"/>
    <x v="76"/>
    <s v="13.46"/>
    <s v="roberto"/>
    <s v="181 a 360"/>
    <s v="CPC"/>
    <x v="4"/>
  </r>
  <r>
    <s v="COGECOM"/>
    <n v="20915603"/>
    <s v="MARIA DA CONCEICAO DOS SANTOS"/>
    <s v="OUT"/>
    <s v="OUTROS"/>
    <n v="59679891100"/>
    <x v="1"/>
    <s v="0.00"/>
    <s v="30.76"/>
    <n v="171"/>
    <s v="EM NEGOCIAÇÃO"/>
    <s v="ALTERACAO DEBITO"/>
    <n v="128"/>
    <x v="76"/>
    <s v="17.13"/>
    <s v="elizabel"/>
    <s v="91 a 180"/>
    <s v="ACIONAMENTO"/>
    <x v="2"/>
  </r>
  <r>
    <s v="COGECOM"/>
    <n v="10031808288"/>
    <s v="PEDRO HENRIQUE NOBERTO DA SILVA"/>
    <s v="OUT"/>
    <s v="OUTROS"/>
    <n v="60506312399"/>
    <x v="1"/>
    <s v="53.75"/>
    <s v="48.86"/>
    <n v="151"/>
    <s v="EM NEGOCIAÇÃO"/>
    <s v="NEGOCIAÇÃO VIA WHATSAPP"/>
    <n v="128"/>
    <x v="77"/>
    <s v="15.20"/>
    <s v="roberto"/>
    <s v="91 a 180"/>
    <s v="CPC"/>
    <x v="2"/>
  </r>
  <r>
    <s v="COGECOM"/>
    <n v="10035665392"/>
    <s v="FERNANDO ALVES LEITE"/>
    <s v="OUT"/>
    <s v="OUTROS"/>
    <n v="94222851191"/>
    <x v="1"/>
    <s v="0.00"/>
    <s v="76.91"/>
    <n v="141"/>
    <s v="EM NEGOCIAÇÃO"/>
    <s v="NEGOCIAÇÃO VIA WHATSAPP"/>
    <n v="134"/>
    <x v="78"/>
    <s v="13.47"/>
    <s v="roberto"/>
    <s v="91 a 180"/>
    <s v="CPC"/>
    <x v="2"/>
  </r>
  <r>
    <s v="COGECOM"/>
    <n v="94367132"/>
    <s v="JEFFERSON DE AGUIAR SOUZA"/>
    <s v="OUT"/>
    <s v="OUTROS"/>
    <n v="7260631937"/>
    <x v="1"/>
    <s v="0.00"/>
    <s v="206.44"/>
    <n v="404"/>
    <s v="EM NEGOCIAÇÃO"/>
    <s v="ALTERACAO DEBITO"/>
    <n v="134"/>
    <x v="78"/>
    <s v="12.01"/>
    <s v="elizabel"/>
    <s v="Acima de 361"/>
    <s v="ACIONAMENTO"/>
    <x v="2"/>
  </r>
  <r>
    <s v="COGECOM"/>
    <n v="51500121"/>
    <s v="Rodrigo Abreu Homem"/>
    <s v="OUT"/>
    <s v="OUTROS"/>
    <n v="4719330908"/>
    <x v="1"/>
    <s v="91.31"/>
    <s v="91.31"/>
    <n v="281"/>
    <s v="EM NEGOCIAÇÃO"/>
    <s v="NEGOCIAÇÃO VIA WHATSAPP"/>
    <n v="134"/>
    <x v="78"/>
    <s v="13.42"/>
    <s v="roberto"/>
    <s v="181 a 360"/>
    <s v="CPC"/>
    <x v="2"/>
  </r>
  <r>
    <s v="COGECOM"/>
    <n v="120415458"/>
    <s v="Thiago Nagao de Oliveira"/>
    <s v="OUT"/>
    <s v="OUTROS"/>
    <n v="27331494821"/>
    <x v="1"/>
    <s v="0.00"/>
    <s v="343.07"/>
    <n v="152"/>
    <s v="COBRANÇA SUSPENSA"/>
    <s v="COBRANÇA SUSPENSA"/>
    <n v="147"/>
    <x v="78"/>
    <s v="17.17"/>
    <s v="luciano"/>
    <s v="91 a 180"/>
    <s v="ACIONAMENTO"/>
    <x v="4"/>
  </r>
  <r>
    <s v="COGECOM"/>
    <n v="4001711145"/>
    <s v="Alexandre De Jesus Rocha de Lara"/>
    <s v="OUT"/>
    <s v="OUTROS"/>
    <n v="333369033"/>
    <x v="1"/>
    <s v="0.00"/>
    <s v="258.91"/>
    <n v="320"/>
    <s v="EM NEGOCIAÇÃO"/>
    <s v="NEGOCIAÇÃO VIA WHATSAPP"/>
    <n v="135"/>
    <x v="79"/>
    <s v="16.05"/>
    <s v="roberto"/>
    <s v="181 a 360"/>
    <s v="CPC"/>
    <x v="2"/>
  </r>
  <r>
    <s v="COGECOM"/>
    <n v="3003661657"/>
    <s v="WILSON BENZAQUEN"/>
    <s v="OUT"/>
    <s v="OUTROS"/>
    <n v="25743309604"/>
    <x v="1"/>
    <s v="92.54"/>
    <s v="84.13"/>
    <n v="145"/>
    <s v="EM NEGOCIAÇÃO"/>
    <s v="GERAÇÃO DE ACORDO"/>
    <n v="135"/>
    <x v="79"/>
    <s v="16.53"/>
    <s v="peterson"/>
    <s v="91 a 180"/>
    <s v="CPC"/>
    <x v="2"/>
  </r>
  <r>
    <s v="COGECOM"/>
    <n v="3010743655"/>
    <s v="COR MARIA FONTES LOPES BONIFACIO"/>
    <s v="OUT"/>
    <s v="OUTROS"/>
    <n v="65301218620"/>
    <x v="1"/>
    <s v="0.00"/>
    <s v="167.64"/>
    <n v="369"/>
    <s v="ACORDO VIGENTE COLCHÃO EM DIA"/>
    <s v="ALTERACAO DEBITO"/>
    <n v="139"/>
    <x v="80"/>
    <s v="11.10"/>
    <s v="elizabel"/>
    <s v="Acima de 361"/>
    <s v="ACIONAMENTO"/>
    <x v="2"/>
  </r>
  <r>
    <s v="COGECOM"/>
    <n v="38150450"/>
    <s v="DAIANE REGINA MORAIS MULLER"/>
    <s v="OUT"/>
    <s v="OUTROS"/>
    <n v="4042950965"/>
    <x v="1"/>
    <s v="0.00"/>
    <s v="240.98"/>
    <n v="287"/>
    <s v="EM NEGOCIAÇÃO"/>
    <s v="ESTORNO"/>
    <n v="166"/>
    <x v="80"/>
    <s v="11.05"/>
    <s v="elizabel"/>
    <s v="181 a 360"/>
    <s v="ACIONAMENTO"/>
    <x v="2"/>
  </r>
  <r>
    <s v="COGECOM"/>
    <n v="3093322105"/>
    <s v="DARCI PEREIRA DIAS"/>
    <s v="OUT"/>
    <s v="OUTROS"/>
    <n v="32489374087"/>
    <x v="1"/>
    <s v="0.00"/>
    <s v="872.62"/>
    <n v="181"/>
    <s v="EM NEGOCIAÇÃO"/>
    <s v="NEGOCIAÇÃO VIA WHATSAPP"/>
    <n v="138"/>
    <x v="80"/>
    <s v="14.30"/>
    <s v="roberto"/>
    <s v="181 a 360"/>
    <s v="CPC"/>
    <x v="2"/>
  </r>
  <r>
    <s v="COGECOM"/>
    <n v="94070385"/>
    <s v="Douglas Arnaldo Goncalves Perassolli"/>
    <s v="OUT"/>
    <s v="OUTROS"/>
    <n v="957654928"/>
    <x v="1"/>
    <s v="133.11"/>
    <s v="133.11"/>
    <n v="243"/>
    <s v="EM NEGOCIAÇÃO"/>
    <s v="NEGOCIAÇÃO VIA TELEFONE"/>
    <n v="138"/>
    <x v="80"/>
    <s v="14.35"/>
    <s v="roberto"/>
    <s v="181 a 360"/>
    <s v="CPC"/>
    <x v="2"/>
  </r>
  <r>
    <s v="COGECOM"/>
    <n v="4002451338"/>
    <s v="EDUARDO PINTO VALIM DE ANDRADE"/>
    <s v="OUT"/>
    <s v="OUTROS"/>
    <n v="2846170088"/>
    <x v="1"/>
    <s v="0.00"/>
    <s v="548.60"/>
    <n v="221"/>
    <s v="ACORDO VIGENTE COLCHÃO EM DIA"/>
    <s v="ALTERACAO DEBITO"/>
    <n v="139"/>
    <x v="80"/>
    <s v="11.51"/>
    <s v="elizabel"/>
    <s v="181 a 360"/>
    <s v="ACIONAMENTO"/>
    <x v="2"/>
  </r>
  <r>
    <s v="COGECOM"/>
    <n v="3085402923"/>
    <s v="ESEQUIEL FABIANO SOUZA DE OLIVEIRA"/>
    <s v="OUT"/>
    <s v="OUTROS"/>
    <n v="80282865004"/>
    <x v="1"/>
    <s v="0.00"/>
    <s v="92.70"/>
    <n v="218"/>
    <s v="ACORDO VIGENTE COLCHÃO EM DIA"/>
    <s v="ACORDO VIGENTE COLCHÃO EM DIA"/>
    <n v="138"/>
    <x v="80"/>
    <s v="9.03"/>
    <s v="cassiano.p"/>
    <s v="181 a 360"/>
    <s v="CPC"/>
    <x v="2"/>
  </r>
  <r>
    <s v="COGECOM"/>
    <n v="4002615302"/>
    <s v="FRANCINE DE SOUZA SIMOES"/>
    <s v="OUT"/>
    <s v="OUTROS"/>
    <n v="83077642034"/>
    <x v="1"/>
    <s v="254.57"/>
    <s v="231.43"/>
    <n v="303"/>
    <s v="EM NEGOCIAÇÃO"/>
    <s v="GERAÇÃO DE ACORDO"/>
    <n v="138"/>
    <x v="80"/>
    <s v="13.55"/>
    <s v="roberto"/>
    <s v="181 a 360"/>
    <s v="CPC"/>
    <x v="2"/>
  </r>
  <r>
    <s v="COGECOM"/>
    <n v="15589262"/>
    <s v="RUTE BATISTA DA SILVA"/>
    <s v="OUT"/>
    <s v="OUTROS"/>
    <n v="34241949134"/>
    <x v="1"/>
    <s v="0.00"/>
    <s v="59.23"/>
    <n v="371"/>
    <s v="EM NEGOCIAÇÃO"/>
    <s v="NEGOCIAÇÃO VIA WHATSAPP"/>
    <n v="138"/>
    <x v="80"/>
    <s v="8.55"/>
    <s v="roberto"/>
    <s v="Acima de 361"/>
    <s v="CPC"/>
    <x v="2"/>
  </r>
  <r>
    <s v="COGECOM"/>
    <n v="10192328"/>
    <s v="MOYSES PISTORE"/>
    <s v="OUT"/>
    <s v="OUTROS"/>
    <n v="1603280987"/>
    <x v="1"/>
    <s v="0.00"/>
    <s v="52.80"/>
    <n v="164"/>
    <s v="ACORDO VIGENTE COLCHÃO EM DIA"/>
    <s v="ALTERACAO DEBITO"/>
    <n v="139"/>
    <x v="80"/>
    <s v="11.09"/>
    <s v="elizabel"/>
    <s v="91 a 180"/>
    <s v="ACIONAMENTO"/>
    <x v="2"/>
  </r>
  <r>
    <s v="COGECOM"/>
    <n v="10012872910"/>
    <s v="MARIA DO CARMO OLIVEIRA ALVES"/>
    <s v="OUT"/>
    <s v="OUTROS"/>
    <n v="45512221191"/>
    <x v="1"/>
    <s v="0.00"/>
    <s v="171.01"/>
    <n v="151"/>
    <s v="EM NEGOCIAÇÃO"/>
    <s v="NEGOCIAÇÃO VIA WHATSAPP"/>
    <n v="138"/>
    <x v="80"/>
    <s v="9.37"/>
    <s v="roberto"/>
    <s v="91 a 180"/>
    <s v="CPC"/>
    <x v="2"/>
  </r>
  <r>
    <s v="COGECOM"/>
    <n v="53655688"/>
    <s v="CARINE CARDOSO DOS SANTOS"/>
    <s v="OUT"/>
    <s v="OUTROS"/>
    <n v="878114998"/>
    <x v="1"/>
    <s v="0.00"/>
    <s v="316.64"/>
    <n v="192"/>
    <s v="EM NEGOCIAÇÃO"/>
    <s v="NEGOCIAÇÃO VIA WHATSAPP"/>
    <n v="139"/>
    <x v="81"/>
    <s v="16.26"/>
    <s v="roberto"/>
    <s v="181 a 360"/>
    <s v="CPC"/>
    <x v="2"/>
  </r>
  <r>
    <s v="COGECOM"/>
    <n v="49159463"/>
    <s v="CARLOS HENRIQUE SOUZA DE FREITAS"/>
    <s v="OUT"/>
    <s v="OUTROS"/>
    <n v="5350151940"/>
    <x v="1"/>
    <s v="0.00"/>
    <s v="120.36"/>
    <n v="191"/>
    <s v="EM NEGOCIAÇÃO"/>
    <s v="ENVIADO MSG/E-MAIL 1º CONTATO"/>
    <n v="139"/>
    <x v="81"/>
    <s v="10.34"/>
    <s v="cassiano.p"/>
    <s v="181 a 360"/>
    <s v="ACIONAMENTO"/>
    <x v="2"/>
  </r>
  <r>
    <s v="COGECOM"/>
    <n v="91028744"/>
    <s v="Deivid Oliveira Bido"/>
    <s v="OUT"/>
    <s v="OUTROS"/>
    <n v="6220276973"/>
    <x v="1"/>
    <s v="0.00"/>
    <s v="277.27"/>
    <n v="346"/>
    <s v="EM NEGOCIAÇÃO"/>
    <s v="NEGOCIAÇÃO VIA WHATSAPP"/>
    <n v="139"/>
    <x v="81"/>
    <s v="17.10"/>
    <s v="roberto"/>
    <s v="181 a 360"/>
    <s v="CPC"/>
    <x v="2"/>
  </r>
  <r>
    <s v="COGECOM"/>
    <n v="87363577"/>
    <s v="ISABEL CRISTINA ANDRADE RIBEIRO"/>
    <s v="OUT"/>
    <s v="OUTROS"/>
    <n v="72339160987"/>
    <x v="1"/>
    <s v="0.00"/>
    <s v="252.74"/>
    <n v="191"/>
    <s v="ACORDO VIGENTE COLCHÃO EM DIA"/>
    <s v="ACORDO VIGENTE COLCHÃO EM DIA"/>
    <n v="139"/>
    <x v="81"/>
    <s v="10.34"/>
    <s v="adrimpra"/>
    <s v="181 a 360"/>
    <s v="CPC"/>
    <x v="2"/>
  </r>
  <r>
    <s v="COGECOM"/>
    <n v="54929404"/>
    <s v="LUMIS CONSTRUTORA E INCORPORADORA LTDA"/>
    <s v="OUT"/>
    <s v="OUTROS"/>
    <n v="80696776000127"/>
    <x v="1"/>
    <s v="359.16"/>
    <s v="326.51"/>
    <n v="179"/>
    <s v="ACORDO VIGENTE COLCHÃO EM DIA"/>
    <s v="GERAÇÃO DE ACORDO"/>
    <n v="139"/>
    <x v="81"/>
    <s v="16.11"/>
    <s v="peterson"/>
    <s v="91 a 180"/>
    <s v="CPC"/>
    <x v="2"/>
  </r>
  <r>
    <s v="COGECOM"/>
    <n v="20342242"/>
    <s v="Leoni Maria Jakubowsky"/>
    <s v="OUT"/>
    <s v="OUTROS"/>
    <n v="35185759968"/>
    <x v="1"/>
    <s v="0.00"/>
    <s v="258.00"/>
    <n v="157"/>
    <s v="EM NEGOCIAÇÃO"/>
    <s v="NEGOCIAÇÃO VIA WHATSAPP"/>
    <n v="139"/>
    <x v="81"/>
    <s v="13.25"/>
    <s v="adrimpra"/>
    <s v="91 a 180"/>
    <s v="CPC"/>
    <x v="2"/>
  </r>
  <r>
    <s v="COGECOM"/>
    <n v="10010410765"/>
    <s v="SALETE DE PAULA"/>
    <s v="OUT"/>
    <s v="OUTROS"/>
    <n v="74380338991"/>
    <x v="1"/>
    <s v="0.00"/>
    <s v="173.19"/>
    <n v="151"/>
    <s v="EM NEGOCIAÇÃO"/>
    <s v="NEGOCIAÇÃO VIA WHATSAPP"/>
    <n v="139"/>
    <x v="81"/>
    <s v="14.30"/>
    <s v="roberto"/>
    <s v="91 a 180"/>
    <s v="CPC"/>
    <x v="2"/>
  </r>
  <r>
    <s v="COGECOM"/>
    <n v="10030435135"/>
    <s v="PEDRO MARCAL NETO II"/>
    <s v="OUT"/>
    <s v="OUTROS"/>
    <n v="2919403150"/>
    <x v="1"/>
    <s v="0.00"/>
    <s v="171.20"/>
    <n v="151"/>
    <s v="EM NEGOCIAÇÃO"/>
    <s v="NEGOCIAÇÃO VIA WHATSAPP"/>
    <n v="139"/>
    <x v="81"/>
    <s v="14.50"/>
    <s v="roberto"/>
    <s v="91 a 180"/>
    <s v="CPC"/>
    <x v="2"/>
  </r>
  <r>
    <s v="COGECOM"/>
    <n v="54929633"/>
    <s v="LUMIS CONSTRUTORA E INCORPORADORA LTDA"/>
    <s v="OUT"/>
    <s v="OUTROS"/>
    <n v="80696776000127"/>
    <x v="1"/>
    <s v="345.77"/>
    <s v="314.34"/>
    <n v="186"/>
    <m/>
    <s v="GERAÇÃO DE ACORDO"/>
    <n v="9999"/>
    <x v="81"/>
    <s v="16.12"/>
    <s v="peterson"/>
    <s v="181 a 360"/>
    <s v="CPC"/>
    <x v="4"/>
  </r>
  <r>
    <s v="COGECOM"/>
    <n v="25608925"/>
    <s v="ELAINE MORAES"/>
    <s v="OUT"/>
    <s v="OUTROS"/>
    <n v="1775709973"/>
    <x v="1"/>
    <s v="0.00"/>
    <s v="88.46"/>
    <n v="276"/>
    <s v="NÃO LOCALIZADO"/>
    <s v="ALTERACAO DEBITO"/>
    <n v="161"/>
    <x v="82"/>
    <s v="16.29"/>
    <s v="elizabel"/>
    <s v="181 a 360"/>
    <s v="ACIONAMENTO"/>
    <x v="0"/>
  </r>
  <r>
    <s v="COGECOM"/>
    <n v="55050350"/>
    <s v="THIAGO JOSE DE OLIVEIRA"/>
    <s v="OUT"/>
    <s v="OUTROS"/>
    <n v="4014034917"/>
    <x v="1"/>
    <s v="360.24"/>
    <s v="114.57"/>
    <n v="156"/>
    <s v="ACORDO VIGENTE COLCHÃO EM DIA"/>
    <s v="ACORDO VIGENTE COLCHÃO EM DIA"/>
    <n v="147"/>
    <x v="83"/>
    <s v="13.38"/>
    <s v="peterson"/>
    <s v="91 a 180"/>
    <s v="CPC"/>
    <x v="2"/>
  </r>
  <r>
    <s v="COGECOM"/>
    <n v="3014749965"/>
    <s v="CRISTIANI ANTUNES GALVÃO"/>
    <s v="OUT"/>
    <s v="OUTROS"/>
    <n v="4383077633"/>
    <x v="1"/>
    <s v="0.00"/>
    <s v="176.92"/>
    <n v="211"/>
    <s v="ACORDO VIGENTE COLCHÃO EM DIA"/>
    <s v="ALTERACAO DEBITO"/>
    <n v="152"/>
    <x v="84"/>
    <s v="15.02"/>
    <s v="elizabel"/>
    <s v="181 a 360"/>
    <s v="ACIONAMENTO"/>
    <x v="2"/>
  </r>
  <r>
    <s v="COGECOM"/>
    <n v="3095095136"/>
    <s v="ROSELENE OLIVEIRA DE FREITAS"/>
    <s v="OUT"/>
    <s v="OUTROS"/>
    <n v="75819805020"/>
    <x v="1"/>
    <s v="0.00"/>
    <s v="175.34"/>
    <n v="186"/>
    <s v="EM NEGOCIAÇÃO"/>
    <s v="NEGOCIAÇÃO VIA TELEFONE"/>
    <n v="148"/>
    <x v="84"/>
    <s v="16.47"/>
    <s v="isabel"/>
    <s v="181 a 360"/>
    <s v="CPC"/>
    <x v="2"/>
  </r>
  <r>
    <s v="COGECOM"/>
    <n v="33119457"/>
    <s v="Odair Aparecido Kogelski"/>
    <s v="OUT"/>
    <s v="OUTROS"/>
    <n v="1793146969"/>
    <x v="1"/>
    <s v="206.67"/>
    <s v="187.88"/>
    <n v="153"/>
    <s v="EM NEGOCIAÇÃO"/>
    <s v="GERAÇÃO DE ACORDO"/>
    <n v="148"/>
    <x v="84"/>
    <s v="9.43"/>
    <s v="roberto"/>
    <s v="91 a 180"/>
    <s v="CPC"/>
    <x v="2"/>
  </r>
  <r>
    <s v="COGECOM"/>
    <n v="10013307825"/>
    <s v="JULLIANA DE ASSUNCAO FERREIRA"/>
    <s v="OUT"/>
    <s v="OUTROS"/>
    <n v="706290135"/>
    <x v="1"/>
    <s v="0.00"/>
    <s v="185.09"/>
    <n v="151"/>
    <s v="EM NEGOCIAÇÃO"/>
    <s v="NEGOCIAÇÃO VIA WHATSAPP"/>
    <n v="148"/>
    <x v="84"/>
    <s v="9.20"/>
    <s v="roberto"/>
    <s v="91 a 180"/>
    <s v="CPC"/>
    <x v="2"/>
  </r>
  <r>
    <s v="COGECOM"/>
    <n v="57064099"/>
    <s v="FABIO DE QUADROS"/>
    <s v="OUT"/>
    <s v="OUTROS"/>
    <n v="97115517053"/>
    <x v="1"/>
    <s v="0.00"/>
    <s v="115.14"/>
    <n v="207"/>
    <s v="EM NEGOCIAÇÃO"/>
    <s v="DIVIDA CONTESTADA PELO DEVEDOR"/>
    <n v="149"/>
    <x v="85"/>
    <s v="11.13"/>
    <s v="isabel"/>
    <s v="181 a 360"/>
    <s v="CPC"/>
    <x v="2"/>
  </r>
  <r>
    <s v="COGECOM"/>
    <n v="87656299"/>
    <s v="ROSANA CRISTINA LALLI"/>
    <s v="OUT"/>
    <s v="OUTROS"/>
    <n v="49618253953"/>
    <x v="1"/>
    <s v="0.00"/>
    <s v="110.81"/>
    <n v="205"/>
    <s v="SEM INTERESSE"/>
    <s v="NEGOCIAÇÃO VIA TELEFONE"/>
    <n v="149"/>
    <x v="85"/>
    <s v="10.29"/>
    <s v="adrimpra"/>
    <s v="181 a 360"/>
    <s v="CPC"/>
    <x v="1"/>
  </r>
  <r>
    <s v="COGECOM"/>
    <n v="10009654028"/>
    <s v="LEONIDAS FERREIRA ROCHA NETO"/>
    <s v="OUT"/>
    <s v="OUTROS"/>
    <n v="83573364187"/>
    <x v="1"/>
    <s v="0.00"/>
    <s v="219.46"/>
    <n v="168"/>
    <s v="EM NEGOCIAÇÃO"/>
    <s v="NEGOCIAÇÃO VIA WHATSAPP"/>
    <n v="149"/>
    <x v="85"/>
    <s v="16.57"/>
    <s v="roberto"/>
    <s v="91 a 180"/>
    <s v="CPC"/>
    <x v="2"/>
  </r>
  <r>
    <s v="COGECOM"/>
    <n v="26370710"/>
    <s v="ROSIMARE BORBA MAFRA"/>
    <s v="OUT"/>
    <s v="OUTROS"/>
    <n v="506351904"/>
    <x v="1"/>
    <s v="0.00"/>
    <s v="201.12"/>
    <n v="153"/>
    <s v="EM NEGOCIAÇÃO"/>
    <s v="NEGOCIAÇÃO VIA WHATSAPP"/>
    <n v="149"/>
    <x v="85"/>
    <s v="17.05"/>
    <s v="roberto"/>
    <s v="91 a 180"/>
    <s v="CPC"/>
    <x v="2"/>
  </r>
  <r>
    <s v="COGECOM"/>
    <n v="109370465"/>
    <s v="Zilda Aparecida Martins"/>
    <s v="OUT"/>
    <s v="OUTROS"/>
    <n v="3202641816"/>
    <x v="1"/>
    <s v="1234.48"/>
    <s v="469.55"/>
    <n v="271"/>
    <s v="EM NEGOCIAÇÃO"/>
    <s v="NEGOCIAÇÃO VIA WHATSAPP"/>
    <n v="152"/>
    <x v="86"/>
    <s v="17.17"/>
    <s v="roberto"/>
    <s v="181 a 360"/>
    <s v="CPC"/>
    <x v="2"/>
  </r>
  <r>
    <s v="COGECOM"/>
    <n v="73751839"/>
    <s v="FABRICIO ROBERTO VELOSO"/>
    <s v="OUT"/>
    <s v="OUTROS"/>
    <n v="2803877929"/>
    <x v="0"/>
    <s v="765.91"/>
    <s v="202.20"/>
    <n v="220"/>
    <s v="EM NEGOCIAÇÃO"/>
    <s v="NEGOCIAÇÃO VIA WHATSAPP"/>
    <n v="153"/>
    <x v="87"/>
    <s v="13.21"/>
    <s v="roberto"/>
    <s v="181 a 360"/>
    <s v="CPC"/>
    <x v="2"/>
  </r>
  <r>
    <s v="COGECOM"/>
    <n v="73146455"/>
    <s v="GUILHERME LIMA DE OLIVEIRA"/>
    <s v="OUT"/>
    <s v="OUTROS"/>
    <n v="35838663987"/>
    <x v="1"/>
    <s v="0.00"/>
    <s v="527.32"/>
    <n v="233"/>
    <s v="EM NEGOCIAÇÃO"/>
    <s v="NEGOCIAÇÃO VIA WHATSAPP"/>
    <n v="153"/>
    <x v="87"/>
    <s v="13.29"/>
    <s v="roberto"/>
    <s v="181 a 360"/>
    <s v="CPC"/>
    <x v="2"/>
  </r>
  <r>
    <s v="COGECOM"/>
    <n v="1256270"/>
    <s v="MARCOS ANTONIO SANDRIN"/>
    <s v="OUT"/>
    <s v="OUTROS"/>
    <n v="62706616920"/>
    <x v="1"/>
    <s v="0.00"/>
    <s v="166.50"/>
    <n v="217"/>
    <s v="EM NEGOCIAÇÃO"/>
    <s v="ALTERACAO DEBITO"/>
    <n v="154"/>
    <x v="87"/>
    <s v="16.15"/>
    <s v="elizabel"/>
    <s v="181 a 360"/>
    <s v="ACIONAMENTO"/>
    <x v="2"/>
  </r>
  <r>
    <s v="COGECOM"/>
    <n v="3002457872"/>
    <s v="ANDRE LUIZ DE MIRANDA"/>
    <s v="OUT"/>
    <s v="OUTROS"/>
    <n v="48635677668"/>
    <x v="1"/>
    <s v="0.00"/>
    <s v="126.88"/>
    <n v="174"/>
    <s v="EM NEGOCIAÇÃO"/>
    <s v="NEGOCIAÇÃO VIA WHATSAPP"/>
    <n v="153"/>
    <x v="87"/>
    <s v="13.30"/>
    <s v="roberto"/>
    <s v="91 a 180"/>
    <s v="CPC"/>
    <x v="2"/>
  </r>
  <r>
    <s v="COGECOM"/>
    <n v="9661719"/>
    <s v="EDMILSON DA ROCHA BORGES"/>
    <s v="OUT"/>
    <s v="OUTROS"/>
    <n v="51614847991"/>
    <x v="1"/>
    <s v="0.00"/>
    <s v="220.41"/>
    <n v="164"/>
    <s v="EM NEGOCIAÇÃO"/>
    <s v="ALTERACAO DEBITO"/>
    <n v="156"/>
    <x v="88"/>
    <s v="10.50"/>
    <s v="elizabel"/>
    <s v="91 a 180"/>
    <s v="ACIONAMENTO"/>
    <x v="2"/>
  </r>
  <r>
    <s v="COGECOM"/>
    <n v="9381040"/>
    <s v="LUIZ CERGIO BRAGA"/>
    <s v="OUT"/>
    <s v="OUTROS"/>
    <n v="33510121953"/>
    <x v="1"/>
    <s v="0.00"/>
    <s v="366.64"/>
    <n v="191"/>
    <s v="EM NEGOCIAÇÃO"/>
    <s v="ALTERACAO DEBITO"/>
    <n v="156"/>
    <x v="88"/>
    <s v="11.22"/>
    <s v="elizabel"/>
    <s v="181 a 360"/>
    <s v="ACIONAMENTO"/>
    <x v="2"/>
  </r>
  <r>
    <s v="COGECOM"/>
    <n v="69960151"/>
    <s v="CF ACADEMIA LTDA ME"/>
    <s v="OUT"/>
    <s v="OUTROS"/>
    <n v="20292400000000"/>
    <x v="1"/>
    <s v="0.00"/>
    <s v="5915.16"/>
    <n v="206"/>
    <s v="EM NEGOCIAÇÃO"/>
    <s v="NEGOCIAÇÃO VIA WHATSAPP"/>
    <n v="155"/>
    <x v="88"/>
    <s v="14.28"/>
    <s v="cassiano.p"/>
    <s v="181 a 360"/>
    <s v="CPC"/>
    <x v="2"/>
  </r>
  <r>
    <s v="COGECOM"/>
    <n v="53017161"/>
    <s v="LUIZ CERGIO BRAGA"/>
    <s v="OUT"/>
    <s v="OUTROS"/>
    <n v="33510121953"/>
    <x v="1"/>
    <s v="0.00"/>
    <s v="342.47"/>
    <n v="198"/>
    <s v="EM NEGOCIAÇÃO"/>
    <s v="ALTERACAO DEBITO"/>
    <n v="163"/>
    <x v="88"/>
    <s v="11.24"/>
    <s v="elizabel"/>
    <s v="181 a 360"/>
    <s v="ACIONAMENTO"/>
    <x v="2"/>
  </r>
  <r>
    <s v="COGECOM"/>
    <n v="88780635"/>
    <s v="Luciano Ribeiro Navarro"/>
    <s v="OUT"/>
    <s v="OUTROS"/>
    <n v="2479264939"/>
    <x v="1"/>
    <s v="0.00"/>
    <s v="321.92"/>
    <n v="198"/>
    <s v="EM NEGOCIAÇÃO"/>
    <s v="NEGOCIAÇÃO VIA WHATSAPP"/>
    <n v="156"/>
    <x v="89"/>
    <s v="14.06"/>
    <s v="roberto"/>
    <s v="181 a 360"/>
    <s v="CPC"/>
    <x v="2"/>
  </r>
  <r>
    <s v="COGECOM"/>
    <n v="49418051"/>
    <s v="MARCELO BARBOSA"/>
    <s v="OUT"/>
    <s v="OUTROS"/>
    <n v="5752401992"/>
    <x v="0"/>
    <s v="431.24"/>
    <s v="48.12"/>
    <n v="310"/>
    <s v="EM NEGOCIAÇÃO"/>
    <s v="GERAÇÃO DE ACORDO"/>
    <n v="156"/>
    <x v="89"/>
    <s v="9.27"/>
    <s v="cassiano.p"/>
    <s v="181 a 360"/>
    <s v="CPC"/>
    <x v="2"/>
  </r>
  <r>
    <s v="COGECOM"/>
    <n v="7442297"/>
    <s v="Patricia Medeiros Paz"/>
    <s v="OUT"/>
    <s v="OUTROS"/>
    <n v="3279176956"/>
    <x v="1"/>
    <s v="705.87"/>
    <s v="336.13"/>
    <n v="194"/>
    <s v="EM NEGOCIAÇÃO"/>
    <s v="NEGOCIAÇÃO VIA WHATSAPP"/>
    <n v="156"/>
    <x v="89"/>
    <s v="11.01"/>
    <s v="roberto"/>
    <s v="181 a 360"/>
    <s v="CPC"/>
    <x v="2"/>
  </r>
  <r>
    <s v="COGECOM"/>
    <n v="102357293"/>
    <s v="RAFAEL CONSENTINO DE LIMA"/>
    <s v="OUT"/>
    <s v="OUTROS"/>
    <n v="8027419913"/>
    <x v="0"/>
    <s v="878.91"/>
    <s v="170.62"/>
    <n v="172"/>
    <s v="EM NEGOCIAÇÃO"/>
    <s v="NEGOCIAÇÃO VIA WHATSAPP"/>
    <n v="156"/>
    <x v="89"/>
    <s v="11.04"/>
    <s v="roberto"/>
    <s v="91 a 180"/>
    <s v="CPC"/>
    <x v="2"/>
  </r>
  <r>
    <s v="COGECOM"/>
    <n v="481955"/>
    <s v="UNNALUZ ILUMINACAO LTDA"/>
    <s v="OUT"/>
    <s v="OUTROS"/>
    <n v="9345062000100"/>
    <x v="0"/>
    <s v="1281.25"/>
    <s v="654.23"/>
    <n v="503"/>
    <s v="EM NEGOCIAÇÃO"/>
    <s v="NEGOCIAÇÃO VIA TELEFONE"/>
    <n v="156"/>
    <x v="89"/>
    <s v="10.40"/>
    <s v="roberto"/>
    <s v="Acima de 361"/>
    <s v="CPC"/>
    <x v="2"/>
  </r>
  <r>
    <s v="COGECOM"/>
    <n v="93646410"/>
    <s v="Claudia da Silva Kryszczun"/>
    <s v="OUT"/>
    <s v="OUTROS"/>
    <n v="2009958985"/>
    <x v="1"/>
    <s v="0.00"/>
    <s v="377.31"/>
    <n v="151"/>
    <s v="EM NEGOCIAÇÃO"/>
    <s v="NEGOCIAÇÃO VIA WHATSAPP"/>
    <n v="156"/>
    <x v="89"/>
    <s v="14.20"/>
    <s v="roberto"/>
    <s v="91 a 180"/>
    <s v="CPC"/>
    <x v="2"/>
  </r>
  <r>
    <s v="COGECOM"/>
    <n v="3085691164"/>
    <s v="LASARO DANIEL SALATINO"/>
    <s v="OUT"/>
    <s v="OUTROS"/>
    <n v="99281333015"/>
    <x v="1"/>
    <s v="0.00"/>
    <s v="103.84"/>
    <n v="578"/>
    <s v="EM NEGOCIAÇÃO"/>
    <s v="NEGOCIAÇÃO VIA WHATSAPP"/>
    <n v="159"/>
    <x v="90"/>
    <s v="11.28"/>
    <s v="cassiano.p"/>
    <s v="Acima de 361"/>
    <s v="CPC"/>
    <x v="2"/>
  </r>
  <r>
    <s v="COGECOM"/>
    <n v="3003001655"/>
    <s v="LUCINETE SOARES OLIVEIRA BARRETO"/>
    <s v="OUT"/>
    <s v="OUTROS"/>
    <n v="56377703600"/>
    <x v="1"/>
    <s v="0.00"/>
    <s v="193.37"/>
    <n v="189"/>
    <m/>
    <s v="SOLICITAR EXTINÇÃO DA AÇÃO"/>
    <n v="9999"/>
    <x v="90"/>
    <s v="14.01"/>
    <s v="cassiano.p"/>
    <s v="181 a 360"/>
    <s v="ACIONAMENTO"/>
    <x v="4"/>
  </r>
  <r>
    <s v="COGECOM"/>
    <n v="51979893"/>
    <s v="MADSON SANTOS TORRES"/>
    <s v="OUT"/>
    <s v="OUTROS"/>
    <n v="4193579204"/>
    <x v="1"/>
    <s v="395.27"/>
    <s v="88.08"/>
    <n v="206"/>
    <s v="NÃO LOCALIZADO"/>
    <s v="TELEFONES SEM ATENDIMENTO"/>
    <n v="159"/>
    <x v="90"/>
    <s v="15.01"/>
    <s v="cassiano.p"/>
    <s v="181 a 360"/>
    <s v="ACIONAMENTO"/>
    <x v="0"/>
  </r>
  <r>
    <s v="COGECOM"/>
    <n v="3095099318"/>
    <s v="MARCO AURELIO BRANDAO E SILVA"/>
    <s v="OUT"/>
    <s v="OUTROS"/>
    <n v="44496974053"/>
    <x v="1"/>
    <s v="0.00"/>
    <s v="973.00"/>
    <n v="222"/>
    <s v="EM NEGOCIAÇÃO"/>
    <s v="SOLICITAR EXTINÇÃO DA AÇÃO"/>
    <n v="170"/>
    <x v="90"/>
    <s v="15.38"/>
    <s v="cassiano.p"/>
    <s v="181 a 360"/>
    <s v="ACIONAMENTO"/>
    <x v="2"/>
  </r>
  <r>
    <s v="COGECOM"/>
    <n v="3007512373"/>
    <s v="MARCONE RODRIGUES MARQUES"/>
    <s v="OUT"/>
    <s v="OUTROS"/>
    <n v="95461850600"/>
    <x v="0"/>
    <s v="146.82"/>
    <s v="169.76"/>
    <n v="220"/>
    <m/>
    <s v="SOLICITAR EXTINÇÃO DA AÇÃO"/>
    <n v="9999"/>
    <x v="90"/>
    <s v="15.45"/>
    <s v="cassiano.p"/>
    <s v="181 a 360"/>
    <s v="ACIONAMENTO"/>
    <x v="4"/>
  </r>
  <r>
    <s v="COGECOM"/>
    <n v="20792207"/>
    <s v="ABADIA INEZ SPINDOLA"/>
    <s v="OUT"/>
    <s v="OUTROS"/>
    <n v="34828281134"/>
    <x v="1"/>
    <s v="0.00"/>
    <s v="46.15"/>
    <n v="187"/>
    <s v="NÃO LOCALIZADO"/>
    <s v="ALTERACAO DEBITO"/>
    <n v="161"/>
    <x v="91"/>
    <s v="14.12"/>
    <s v="elizabel"/>
    <s v="181 a 360"/>
    <s v="ACIONAMENTO"/>
    <x v="0"/>
  </r>
  <r>
    <s v="COGECOM"/>
    <n v="40478353"/>
    <s v="FERNANDO KERBER"/>
    <s v="OUT"/>
    <s v="OUTROS"/>
    <n v="2060447984"/>
    <x v="1"/>
    <s v="0.00"/>
    <s v="169.61"/>
    <n v="180"/>
    <m/>
    <s v="ALTERACAO DEBITO"/>
    <n v="9999"/>
    <x v="91"/>
    <s v="13.39"/>
    <s v="elizabel"/>
    <s v="91 a 180"/>
    <s v="ACIONAMENTO"/>
    <x v="4"/>
  </r>
  <r>
    <s v="COGECOM"/>
    <n v="10019043714"/>
    <s v="FRANCISCA DAS CHAGAS LOPES DOS SANTOS"/>
    <s v="OUT"/>
    <s v="OUTROS"/>
    <n v="2080037382"/>
    <x v="0"/>
    <s v="502.99"/>
    <s v="136.83"/>
    <n v="195"/>
    <m/>
    <s v="SOLICITAR EXTINÇÃO DA AÇÃO"/>
    <n v="9999"/>
    <x v="91"/>
    <s v="11.06"/>
    <s v="cassiano.p"/>
    <s v="181 a 360"/>
    <s v="ACIONAMENTO"/>
    <x v="4"/>
  </r>
  <r>
    <s v="COGECOM"/>
    <n v="29272689"/>
    <s v="GILBERTO JOSE DOBROWOLSKI"/>
    <s v="OUT"/>
    <s v="OUTROS"/>
    <n v="1672650917"/>
    <x v="1"/>
    <s v="0.00"/>
    <s v="474.79"/>
    <n v="479"/>
    <s v="COBRANÇA SUSPENSA"/>
    <s v="COBRANÇA SUSPENSA"/>
    <n v="176"/>
    <x v="91"/>
    <s v="16.18"/>
    <s v="luciano"/>
    <s v="Acima de 361"/>
    <s v="ACIONAMENTO"/>
    <x v="4"/>
  </r>
  <r>
    <s v="COGECOM"/>
    <n v="3010906730"/>
    <s v="GIOVANNA SANTOS VIEIRA"/>
    <s v="OUT"/>
    <s v="OUTROS"/>
    <n v="2309500607"/>
    <x v="0"/>
    <s v="36.80"/>
    <s v="36.80"/>
    <n v="198"/>
    <m/>
    <s v="SOLICITAR EXTINÇÃO DA AÇÃO"/>
    <n v="9999"/>
    <x v="91"/>
    <s v="11.19"/>
    <s v="cassiano.p"/>
    <s v="181 a 360"/>
    <s v="ACIONAMENTO"/>
    <x v="4"/>
  </r>
  <r>
    <s v="COGECOM"/>
    <n v="10008505185"/>
    <s v="HENRIQUE SIQUEIRA QUEIROGA"/>
    <s v="OUT"/>
    <s v="OUTROS"/>
    <n v="6155546606"/>
    <x v="1"/>
    <s v="0.00"/>
    <s v="36.05"/>
    <n v="220"/>
    <m/>
    <s v="SOLICITAR EXTINÇÃO DA AÇÃO"/>
    <n v="9999"/>
    <x v="91"/>
    <s v="11.33"/>
    <s v="cassiano.p"/>
    <s v="181 a 360"/>
    <s v="ACIONAMENTO"/>
    <x v="4"/>
  </r>
  <r>
    <s v="COGECOM"/>
    <n v="10029572078"/>
    <s v="ISTENIO GOMES SILVA"/>
    <s v="OUT"/>
    <s v="OUTROS"/>
    <n v="93592574353"/>
    <x v="0"/>
    <s v="397.45"/>
    <s v="146.28"/>
    <n v="219"/>
    <m/>
    <s v="SOLICITAR EXTINÇÃO DA AÇÃO"/>
    <n v="9999"/>
    <x v="91"/>
    <s v="11.57"/>
    <s v="cassiano.p"/>
    <s v="181 a 360"/>
    <s v="ACIONAMENTO"/>
    <x v="4"/>
  </r>
  <r>
    <s v="COGECOM"/>
    <n v="83260374"/>
    <s v="JEOVA YAVE COMERCIO DE ALIMENTOS LTDA ME"/>
    <s v="OUT"/>
    <s v="OUTROS"/>
    <n v="11243900000000"/>
    <x v="1"/>
    <s v="0.00"/>
    <s v="3449.66"/>
    <n v="1504"/>
    <s v="SEM INTERESSE"/>
    <s v="NEGOCIAÇÃO VIA WHATSAPP"/>
    <n v="160"/>
    <x v="91"/>
    <s v="16.32"/>
    <s v="cassiano.p"/>
    <s v="Acima de 361"/>
    <s v="CPC"/>
    <x v="1"/>
  </r>
  <r>
    <s v="COGECOM"/>
    <n v="40330771"/>
    <s v="OFFCINA CAFÉ E COWORKING LTDA ME"/>
    <s v="OUT"/>
    <s v="OUTROS"/>
    <n v="22409200000000"/>
    <x v="1"/>
    <s v="0.00"/>
    <s v="1760.33"/>
    <n v="483"/>
    <s v="EM NEGOCIAÇÃO"/>
    <s v="ALTERACAO DEBITO"/>
    <n v="168"/>
    <x v="91"/>
    <s v="13.45"/>
    <s v="elizabel"/>
    <s v="Acima de 361"/>
    <s v="ACIONAMENTO"/>
    <x v="2"/>
  </r>
  <r>
    <s v="COGECOM"/>
    <n v="108599574"/>
    <s v="ROBINSON MAYER DOS SANTOS"/>
    <s v="OUT"/>
    <s v="OUTROS"/>
    <n v="27817313822"/>
    <x v="1"/>
    <s v="0.00"/>
    <s v="136.69"/>
    <n v="397"/>
    <s v="ACORDO VIGENTE COLCHÃO EM DIA"/>
    <s v="ALTERACAO DEBITO"/>
    <n v="162"/>
    <x v="91"/>
    <s v="13.37"/>
    <s v="elizabel"/>
    <s v="Acima de 361"/>
    <s v="ACIONAMENTO"/>
    <x v="2"/>
  </r>
  <r>
    <s v="COGECOM"/>
    <n v="10006369187"/>
    <s v="AGUINALDO ALVES DA SILVA"/>
    <s v="OUT"/>
    <s v="OUTROS"/>
    <n v="1772280160"/>
    <x v="1"/>
    <s v="0.00"/>
    <s v="48.86"/>
    <n v="191"/>
    <s v="ACORDO VIGENTE COLCHÃO EM DIA"/>
    <s v="NEGOCIAÇÃO VIA WHATSAPP"/>
    <n v="161"/>
    <x v="92"/>
    <s v="11.14"/>
    <s v="cassiano.p"/>
    <s v="181 a 360"/>
    <s v="CPC"/>
    <x v="2"/>
  </r>
  <r>
    <s v="COGECOM"/>
    <n v="20600008"/>
    <s v="ALEXANDRE ROBERTO DE MATTOS"/>
    <s v="OUT"/>
    <s v="OUTROS"/>
    <n v="7103943737"/>
    <x v="1"/>
    <s v="0.00"/>
    <s v="202.27"/>
    <n v="151"/>
    <s v="SEM CONDIÇÕES"/>
    <s v="SEM CONDIÇÕES"/>
    <n v="161"/>
    <x v="92"/>
    <s v="11.21"/>
    <s v="cassiano.p"/>
    <s v="91 a 180"/>
    <s v="CPC"/>
    <x v="3"/>
  </r>
  <r>
    <s v="COGECOM"/>
    <n v="4003244011"/>
    <s v="ANDERSON FERNANDO HERMEL"/>
    <s v="OUT"/>
    <s v="OUTROS"/>
    <n v="1749763052"/>
    <x v="1"/>
    <s v="0.00"/>
    <s v="262.31"/>
    <n v="188"/>
    <s v="NÃO LOCALIZADO"/>
    <s v="TELEFONES SEM ATENDIMENTO"/>
    <n v="161"/>
    <x v="92"/>
    <s v="11.36"/>
    <s v="cassiano.p"/>
    <s v="181 a 360"/>
    <s v="ACIONAMENTO"/>
    <x v="0"/>
  </r>
  <r>
    <s v="COGECOM"/>
    <n v="20620895"/>
    <s v="ANTONIO LUIZ CAMPOS"/>
    <s v="OUT"/>
    <s v="OUTROS"/>
    <n v="16926242968"/>
    <x v="1"/>
    <s v="0.00"/>
    <s v="76.91"/>
    <n v="199"/>
    <s v="EM NEGOCIAÇÃO"/>
    <s v="NEGOCIAÇÃO VIA WHATSAPP"/>
    <n v="161"/>
    <x v="92"/>
    <s v="11.52"/>
    <s v="cassiano.p"/>
    <s v="181 a 360"/>
    <s v="CPC"/>
    <x v="2"/>
  </r>
  <r>
    <s v="COGECOM"/>
    <n v="29079129"/>
    <s v="DIEGO RAMON VIEIRA"/>
    <s v="OUT"/>
    <s v="OUTROS"/>
    <n v="3990619918"/>
    <x v="0"/>
    <s v="1138.21"/>
    <s v="190.96"/>
    <n v="210"/>
    <s v="EM NEGOCIAÇÃO"/>
    <s v="NEGOCIAÇÃO VIA WHATSAPP"/>
    <n v="161"/>
    <x v="92"/>
    <s v="15.26"/>
    <s v="cassiano.p"/>
    <s v="181 a 360"/>
    <s v="CPC"/>
    <x v="2"/>
  </r>
  <r>
    <s v="COGECOM"/>
    <n v="98417703"/>
    <s v="EUGENIO MARCONI METTE"/>
    <s v="OUT"/>
    <s v="OUTROS"/>
    <n v="87740370991"/>
    <x v="1"/>
    <s v="234.96"/>
    <s v="213.60"/>
    <n v="222"/>
    <s v="EM NEGOCIAÇÃO"/>
    <s v="GERAÇÃO DE ACORDO"/>
    <n v="161"/>
    <x v="92"/>
    <s v="17.13"/>
    <s v="cassiano.p"/>
    <s v="181 a 360"/>
    <s v="CPC"/>
    <x v="2"/>
  </r>
  <r>
    <s v="COGECOM"/>
    <n v="3004228147"/>
    <s v="FERNANDO CARVALHO CARLINI"/>
    <s v="OUT"/>
    <s v="OUTROS"/>
    <n v="2691441610"/>
    <x v="1"/>
    <s v="0.00"/>
    <s v="35.60"/>
    <n v="239"/>
    <s v="ACORDO VIGENTE COLCHÃO EM DIA"/>
    <s v="NEGOCIAÇÃO VIA WHATSAPP"/>
    <n v="161"/>
    <x v="92"/>
    <s v="16.34"/>
    <s v="cassiano.p"/>
    <s v="181 a 360"/>
    <s v="CPC"/>
    <x v="2"/>
  </r>
  <r>
    <s v="COGECOM"/>
    <n v="10031840653"/>
    <s v="FERNANDO RAMOS DE PAULA"/>
    <s v="OUT"/>
    <s v="OUTROS"/>
    <n v="70031408109"/>
    <x v="1"/>
    <s v="0.00"/>
    <s v="102.37"/>
    <n v="302"/>
    <s v="NÃO LOCALIZADO"/>
    <s v="TELEFONES SEM ATENDIMENTO"/>
    <n v="161"/>
    <x v="92"/>
    <s v="16.38"/>
    <s v="cassiano.p"/>
    <s v="181 a 360"/>
    <s v="ACIONAMENTO"/>
    <x v="0"/>
  </r>
  <r>
    <s v="COGECOM"/>
    <n v="3007570795"/>
    <s v="ADILSON DE OLIVEIRA FONSECA"/>
    <s v="OUT"/>
    <s v="OUTROS"/>
    <n v="58535934634"/>
    <x v="1"/>
    <s v="0.00"/>
    <s v="90.99"/>
    <n v="223"/>
    <s v="NÃO LOCALIZADO"/>
    <s v="TELEFONES SEM ATENDIMENTO"/>
    <n v="163"/>
    <x v="93"/>
    <s v="11.05"/>
    <s v="cassiano.p"/>
    <s v="181 a 360"/>
    <s v="ACIONAMENTO"/>
    <x v="0"/>
  </r>
  <r>
    <s v="COGECOM"/>
    <n v="10030644079"/>
    <s v="AMARILIS DA SILVA LIMA"/>
    <s v="OUT"/>
    <s v="OUTROS"/>
    <n v="90385659172"/>
    <x v="1"/>
    <s v="0.00"/>
    <s v="61.53"/>
    <n v="189"/>
    <s v="NÃO LOCALIZADO"/>
    <s v="TELEFONES SEM ATENDIMENTO"/>
    <n v="163"/>
    <x v="93"/>
    <s v="13.33"/>
    <s v="cassiano.p"/>
    <s v="181 a 360"/>
    <s v="ACIONAMENTO"/>
    <x v="0"/>
  </r>
  <r>
    <s v="COGECOM"/>
    <n v="11912698"/>
    <s v="ANTONIO PEREIRA DOS SANTOS"/>
    <s v="OUT"/>
    <s v="OUTROS"/>
    <n v="42356415149"/>
    <x v="1"/>
    <s v="0.00"/>
    <s v="22.00"/>
    <n v="402"/>
    <s v="NÃO LOCALIZADO"/>
    <s v="TELEFONES SEM ATENDIMENTO"/>
    <n v="163"/>
    <x v="93"/>
    <s v="13.56"/>
    <s v="cassiano.p"/>
    <s v="Acima de 361"/>
    <s v="ACIONAMENTO"/>
    <x v="0"/>
  </r>
  <r>
    <s v="COGECOM"/>
    <n v="10029952989"/>
    <s v="CRISTOVAO JUNIO PAES LANDIM LIMA"/>
    <s v="OUT"/>
    <s v="OUTROS"/>
    <n v="2741634114"/>
    <x v="1"/>
    <s v="0.00"/>
    <s v="34.12"/>
    <n v="302"/>
    <s v="EM NEGOCIAÇÃO"/>
    <s v="NEGOCIAÇÃO VIA WHATSAPP"/>
    <n v="163"/>
    <x v="93"/>
    <s v="15.24"/>
    <s v="cassiano.p"/>
    <s v="181 a 360"/>
    <s v="CPC"/>
    <x v="2"/>
  </r>
  <r>
    <s v="COGECOM"/>
    <n v="92269869"/>
    <s v="DEIVID SELLES PIRES"/>
    <s v="OUT"/>
    <s v="OUTROS"/>
    <n v="5727607957"/>
    <x v="1"/>
    <s v="0.00"/>
    <s v="106.29"/>
    <n v="226"/>
    <s v="EM NEGOCIAÇÃO"/>
    <s v="NEGOCIAÇÃO VIA WHATSAPP"/>
    <n v="163"/>
    <x v="93"/>
    <s v="16.44"/>
    <s v="cassiano.p"/>
    <s v="181 a 360"/>
    <s v="CPC"/>
    <x v="2"/>
  </r>
  <r>
    <s v="COGECOM"/>
    <n v="3095506533"/>
    <s v="FABRICIO ZANELLA"/>
    <s v="OUT"/>
    <s v="OUTROS"/>
    <n v="80795714068"/>
    <x v="1"/>
    <s v="0.00"/>
    <s v="251.40"/>
    <n v="186"/>
    <s v="EM NEGOCIAÇÃO"/>
    <s v="ALTERACAO DEBITO"/>
    <n v="170"/>
    <x v="93"/>
    <s v="10.58"/>
    <s v="elizabel"/>
    <s v="181 a 360"/>
    <s v="ACIONAMENTO"/>
    <x v="2"/>
  </r>
  <r>
    <s v="COGECOM"/>
    <n v="18807704"/>
    <s v="Fernando Cesar Gohl"/>
    <s v="OUT"/>
    <s v="OUTROS"/>
    <n v="85029114904"/>
    <x v="1"/>
    <s v="0.00"/>
    <s v="288.12"/>
    <n v="196"/>
    <s v="EM NEGOCIAÇÃO"/>
    <s v="ALTERACAO DEBITO"/>
    <n v="167"/>
    <x v="93"/>
    <s v="10.35"/>
    <s v="elizabel"/>
    <s v="181 a 360"/>
    <s v="ACIONAMENTO"/>
    <x v="2"/>
  </r>
  <r>
    <s v="COGECOM"/>
    <n v="3093178545"/>
    <s v="HELENA PINHEIRO MACHADO HUMMES"/>
    <s v="OUT"/>
    <s v="OUTROS"/>
    <n v="36148113015"/>
    <x v="1"/>
    <s v="0.00"/>
    <s v="87.66"/>
    <n v="187"/>
    <s v="SEM INTERESSE"/>
    <s v="SEM INTERESSE"/>
    <n v="163"/>
    <x v="93"/>
    <s v="14.15"/>
    <s v="adrimpra"/>
    <s v="181 a 360"/>
    <s v="CPC"/>
    <x v="1"/>
  </r>
  <r>
    <s v="COGECOM"/>
    <n v="3095777867"/>
    <s v="JEFFERSON HOFFMEISTER"/>
    <s v="OUT"/>
    <s v="OUTROS"/>
    <n v="88229599068"/>
    <x v="1"/>
    <s v="0.00"/>
    <s v="189.33"/>
    <n v="212"/>
    <s v="SEM CONDIÇÕES"/>
    <s v="SEM CONDIÇÕES"/>
    <n v="163"/>
    <x v="93"/>
    <s v="10.49"/>
    <s v="adrimpra"/>
    <s v="181 a 360"/>
    <s v="CPC"/>
    <x v="3"/>
  </r>
  <r>
    <s v="COGECOM"/>
    <n v="3095264215"/>
    <s v="MARCELO ROGOSKI DE MORAES"/>
    <s v="OUT"/>
    <s v="OUTROS"/>
    <n v="80954014049"/>
    <x v="1"/>
    <s v="0.00"/>
    <s v="371.40"/>
    <n v="188"/>
    <s v="SEM INTERESSE"/>
    <s v="SEM INTERESSE"/>
    <n v="163"/>
    <x v="93"/>
    <s v="11.36"/>
    <s v="adrimpra"/>
    <s v="181 a 360"/>
    <s v="CPC"/>
    <x v="1"/>
  </r>
  <r>
    <s v="COGECOM"/>
    <n v="3000123779"/>
    <s v="HELENA OLIVEIRA DA SILVA"/>
    <s v="OUT"/>
    <s v="OUTROS"/>
    <n v="14350389830"/>
    <x v="0"/>
    <s v="1198.14"/>
    <s v="210.53"/>
    <n v="245"/>
    <s v="EM NEGOCIAÇÃO"/>
    <s v="GERAÇÃO DE ACORDO"/>
    <n v="166"/>
    <x v="94"/>
    <s v="15.16"/>
    <s v="roberto"/>
    <s v="181 a 360"/>
    <s v="CPC"/>
    <x v="2"/>
  </r>
  <r>
    <s v="COGECOM"/>
    <n v="81852193"/>
    <s v="JEFERSON ANTONIO BERNARDINO SOARES"/>
    <s v="OUT"/>
    <s v="OUTROS"/>
    <n v="5652168994"/>
    <x v="1"/>
    <s v="383.17"/>
    <s v="383.17"/>
    <n v="194"/>
    <s v="EM NEGOCIAÇÃO"/>
    <s v="NEGOCIAÇÃO VIA WHATSAPP"/>
    <n v="166"/>
    <x v="94"/>
    <s v="11.31"/>
    <s v="roberto"/>
    <s v="181 a 360"/>
    <s v="CPC"/>
    <x v="2"/>
  </r>
  <r>
    <s v="COGECOM"/>
    <n v="67544371"/>
    <s v="RENATO DA SILVA PASCHOAL"/>
    <s v="OUT"/>
    <s v="OUTROS"/>
    <n v="25149560804"/>
    <x v="1"/>
    <s v="724.87"/>
    <s v="227.33"/>
    <n v="631"/>
    <s v="EM NEGOCIAÇÃO"/>
    <s v="GERAÇÃO DE ACORDO"/>
    <n v="166"/>
    <x v="94"/>
    <s v="16.27"/>
    <s v="roberto"/>
    <s v="Acima de 361"/>
    <s v="CPC"/>
    <x v="2"/>
  </r>
  <r>
    <s v="COGECOM"/>
    <n v="3006735113"/>
    <s v="SERGIO JOSE DOS REIS"/>
    <s v="OUT"/>
    <s v="OUTROS"/>
    <n v="87085453591"/>
    <x v="1"/>
    <s v="0.00"/>
    <s v="173.16"/>
    <n v="347"/>
    <s v="EM NEGOCIAÇÃO"/>
    <s v="NEGOCIAÇÃO VIA WHATSAPP"/>
    <n v="166"/>
    <x v="94"/>
    <s v="11.21"/>
    <s v="roberto"/>
    <s v="181 a 360"/>
    <s v="CPC"/>
    <x v="2"/>
  </r>
  <r>
    <s v="COGECOM"/>
    <n v="46219538"/>
    <s v="CAROLINA SPEROTTO ANDRIGHETTO DA   SILVA"/>
    <s v="OUT"/>
    <s v="OUTROS"/>
    <n v="2127697073"/>
    <x v="1"/>
    <s v="0.00"/>
    <s v="340.09"/>
    <n v="194"/>
    <s v="EM NEGOCIAÇÃO"/>
    <s v="NEGOCIAÇÃO VIA WHATSAPP"/>
    <n v="167"/>
    <x v="95"/>
    <s v="17.18"/>
    <s v="roberto"/>
    <s v="181 a 360"/>
    <s v="CPC"/>
    <x v="2"/>
  </r>
  <r>
    <s v="COGECOM"/>
    <n v="54245564"/>
    <s v="CEZAR HENRIQUE FREITAS SOUZA"/>
    <s v="OUT"/>
    <s v="OUTROS"/>
    <n v="21700370200"/>
    <x v="1"/>
    <s v="0.00"/>
    <s v="286.85"/>
    <n v="186"/>
    <s v="EM NEGOCIAÇÃO"/>
    <s v="NEGOCIAÇÃO VIA WHATSAPP"/>
    <n v="167"/>
    <x v="95"/>
    <s v="14.22"/>
    <s v="roberto"/>
    <s v="181 a 360"/>
    <s v="CPC"/>
    <x v="2"/>
  </r>
  <r>
    <s v="COGECOM"/>
    <n v="7265549"/>
    <s v="CHRISTA ROSABELLA HETZER"/>
    <s v="OUT"/>
    <s v="OUTROS"/>
    <n v="6396162911"/>
    <x v="1"/>
    <s v="1195.46"/>
    <s v="338.37"/>
    <n v="243"/>
    <s v="EM NEGOCIAÇÃO"/>
    <s v="NEGOCIAÇÃO VIA WHATSAPP"/>
    <n v="167"/>
    <x v="95"/>
    <s v="10.18"/>
    <s v="roberto"/>
    <s v="181 a 360"/>
    <s v="CPC"/>
    <x v="2"/>
  </r>
  <r>
    <s v="COGECOM"/>
    <n v="3012763651"/>
    <s v="Claudilene Novato de Oliveira Andrade"/>
    <s v="OUT"/>
    <s v="OUTROS"/>
    <n v="8507107664"/>
    <x v="1"/>
    <s v="424.06"/>
    <s v="309.62"/>
    <n v="278"/>
    <s v="EM NEGOCIAÇÃO"/>
    <s v="NEGOCIAÇÃO VIA WHATSAPP"/>
    <n v="167"/>
    <x v="95"/>
    <s v="13.34"/>
    <s v="roberto"/>
    <s v="181 a 360"/>
    <s v="CPC"/>
    <x v="2"/>
  </r>
  <r>
    <s v="COGECOM"/>
    <n v="53499832"/>
    <s v="EMERSON APARECIDO FERREIRA"/>
    <s v="OUT"/>
    <s v="OUTROS"/>
    <n v="897186907"/>
    <x v="1"/>
    <s v="275.27"/>
    <s v="275.27"/>
    <n v="189"/>
    <s v="EM NEGOCIAÇÃO"/>
    <s v="NEGOCIAÇÃO VIA WHATSAPP"/>
    <n v="167"/>
    <x v="95"/>
    <s v="14.57"/>
    <s v="roberto"/>
    <s v="181 a 360"/>
    <s v="CPC"/>
    <x v="2"/>
  </r>
  <r>
    <s v="COGECOM"/>
    <n v="54452112"/>
    <s v="FABIAN BARA CARDOSO"/>
    <s v="OUT"/>
    <s v="OUTROS"/>
    <n v="2736846982"/>
    <x v="1"/>
    <s v="0.00"/>
    <s v="313.50"/>
    <n v="165"/>
    <s v="EM NEGOCIAÇÃO"/>
    <s v="NEGOCIAÇÃO VIA WHATSAPP"/>
    <n v="167"/>
    <x v="95"/>
    <s v="14.01"/>
    <s v="roberto"/>
    <s v="91 a 180"/>
    <s v="CPC"/>
    <x v="2"/>
  </r>
  <r>
    <s v="COGECOM"/>
    <n v="82365130"/>
    <s v="HENRIQUE RODRIGUES MORITZ"/>
    <s v="OUT"/>
    <s v="OUTROS"/>
    <n v="10531699650"/>
    <x v="1"/>
    <s v="0.00"/>
    <s v="617.27"/>
    <n v="196"/>
    <s v="EM NEGOCIAÇÃO"/>
    <s v="ALTERACAO DEBITO"/>
    <n v="168"/>
    <x v="95"/>
    <s v="11.44"/>
    <s v="elizabel"/>
    <s v="181 a 360"/>
    <s v="ACIONAMENTO"/>
    <x v="2"/>
  </r>
  <r>
    <s v="COGECOM"/>
    <n v="67996817"/>
    <s v="KAIQUE SPAGNOL TOFOLI"/>
    <s v="OUT"/>
    <s v="OUTROS"/>
    <n v="47942074846"/>
    <x v="1"/>
    <s v="130.63"/>
    <s v="118.75"/>
    <n v="191"/>
    <s v="EM NEGOCIAÇÃO"/>
    <s v="GERAÇÃO DE ACORDO"/>
    <n v="167"/>
    <x v="95"/>
    <s v="8.58"/>
    <s v="cassiano.p"/>
    <s v="181 a 360"/>
    <s v="CPC"/>
    <x v="2"/>
  </r>
  <r>
    <s v="COGECOM"/>
    <n v="93045557"/>
    <s v="OSMAR FERMINO LOPES"/>
    <s v="OUT"/>
    <s v="OUTROS"/>
    <n v="90422511900"/>
    <x v="1"/>
    <s v="0.00"/>
    <s v="494.31"/>
    <n v="235"/>
    <s v="EM NEGOCIAÇÃO"/>
    <s v="ALTERACAO DEBITO"/>
    <n v="168"/>
    <x v="95"/>
    <s v="11.46"/>
    <s v="elizabel"/>
    <s v="181 a 360"/>
    <s v="ACIONAMENTO"/>
    <x v="2"/>
  </r>
  <r>
    <s v="COGECOM"/>
    <n v="10032132970"/>
    <s v="ALEX BRASILEIRO PASSOS"/>
    <s v="OUT"/>
    <s v="OUTROS"/>
    <n v="2751940196"/>
    <x v="1"/>
    <s v="94.43"/>
    <s v="73.29"/>
    <n v="187"/>
    <s v="ACORDO VIGENTE COLCHÃO EM DIA"/>
    <s v="ACORDO VIGENTE COLCHÃO EM DIA"/>
    <n v="168"/>
    <x v="96"/>
    <s v="11.38"/>
    <s v="cassiano.p"/>
    <s v="181 a 360"/>
    <s v="CPC"/>
    <x v="2"/>
  </r>
  <r>
    <s v="COGECOM"/>
    <n v="103771174"/>
    <s v="EDIFÍCIO LIVERPOOL"/>
    <s v="OUT"/>
    <s v="OUTROS"/>
    <n v="31034900000000"/>
    <x v="1"/>
    <s v="0.00"/>
    <s v="407.65"/>
    <n v="220"/>
    <s v="EM NEGOCIAÇÃO"/>
    <s v="NEGOCIAÇÃO VIA WHATSAPP"/>
    <n v="168"/>
    <x v="96"/>
    <s v="10.23"/>
    <s v="roberto"/>
    <s v="181 a 360"/>
    <s v="CPC"/>
    <x v="2"/>
  </r>
  <r>
    <s v="COGECOM"/>
    <n v="87932121"/>
    <s v="ELISANGELA CRISTINA TEIXEIRA"/>
    <s v="OUT"/>
    <s v="OUTROS"/>
    <n v="7859513935"/>
    <x v="0"/>
    <s v="1496.35"/>
    <s v="452.93"/>
    <n v="168"/>
    <s v="EM NEGOCIAÇÃO"/>
    <s v="GERAÇÃO DE ACORDO"/>
    <n v="168"/>
    <x v="96"/>
    <s v="10.26"/>
    <s v="roberto"/>
    <s v="91 a 180"/>
    <s v="CPC"/>
    <x v="2"/>
  </r>
  <r>
    <s v="COGECOM"/>
    <n v="87511177"/>
    <s v="Emerson Carlos Michelin"/>
    <s v="OUT"/>
    <s v="OUTROS"/>
    <n v="72368101934"/>
    <x v="1"/>
    <s v="964.17"/>
    <s v="459.13"/>
    <n v="244"/>
    <s v="EM NEGOCIAÇÃO"/>
    <s v="GERAÇÃO DE ACORDO"/>
    <n v="168"/>
    <x v="96"/>
    <s v="10.13"/>
    <s v="roberto"/>
    <s v="181 a 360"/>
    <s v="CPC"/>
    <x v="2"/>
  </r>
  <r>
    <s v="COGECOM"/>
    <n v="19266065"/>
    <s v="Gilmar Kappes"/>
    <s v="OUT"/>
    <s v="OUTROS"/>
    <n v="60300035934"/>
    <x v="1"/>
    <s v="113.80"/>
    <s v="594.37"/>
    <n v="174"/>
    <s v="EM NEGOCIAÇÃO"/>
    <s v="NEGOCIAÇÃO VIA WHATSAPP"/>
    <n v="168"/>
    <x v="96"/>
    <s v="14.31"/>
    <s v="roberto"/>
    <s v="91 a 180"/>
    <s v="CPC"/>
    <x v="2"/>
  </r>
  <r>
    <s v="COGECOM"/>
    <n v="31347550"/>
    <s v="JANDIRA DE FATIMA BACHI RODRIGUES"/>
    <s v="OUT"/>
    <s v="OUTROS"/>
    <n v="51010917900"/>
    <x v="1"/>
    <s v="0.00"/>
    <s v="878.20"/>
    <n v="161"/>
    <s v="EM NEGOCIAÇÃO"/>
    <s v="NEGOCIAÇÃO VIA WHATSAPP"/>
    <n v="168"/>
    <x v="96"/>
    <s v="8.41"/>
    <s v="roberto"/>
    <s v="91 a 180"/>
    <s v="CPC"/>
    <x v="2"/>
  </r>
  <r>
    <s v="COGECOM"/>
    <n v="10035318226"/>
    <s v="LUZIA HONORIA DA SILVA"/>
    <s v="OUT"/>
    <s v="OUTROS"/>
    <n v="45559520144"/>
    <x v="0"/>
    <s v="416.23"/>
    <s v="113.03"/>
    <n v="209"/>
    <s v="EM NEGOCIAÇÃO"/>
    <s v="GERAÇÃO DE ACORDO"/>
    <n v="168"/>
    <x v="96"/>
    <s v="10.33"/>
    <s v="adrimpra"/>
    <s v="181 a 360"/>
    <s v="CPC"/>
    <x v="2"/>
  </r>
  <r>
    <s v="COGECOM"/>
    <n v="3090888080"/>
    <s v="YAROSLAU ANTUCH"/>
    <s v="OUT"/>
    <s v="OUTROS"/>
    <n v="10704469049"/>
    <x v="1"/>
    <s v="0.00"/>
    <s v="440.33"/>
    <n v="196"/>
    <s v="EM NEGOCIAÇÃO"/>
    <s v="NEGOCIAÇÃO VIA WHATSAPP"/>
    <n v="168"/>
    <x v="96"/>
    <s v="9.55"/>
    <s v="roberto"/>
    <s v="181 a 360"/>
    <s v="CPC"/>
    <x v="2"/>
  </r>
  <r>
    <s v="COGECOM"/>
    <n v="104960060"/>
    <s v="ALINE DAYANE NERI TUAN"/>
    <s v="OUT"/>
    <s v="OUTROS"/>
    <n v="3526974900"/>
    <x v="0"/>
    <s v="1195.69"/>
    <s v="195.65"/>
    <n v="359"/>
    <s v="ACORDO VIGENTE COLCHÃO EM ATRASO"/>
    <s v="ACORDO VIGENTE COLCHÃO EM ATRASO"/>
    <n v="169"/>
    <x v="97"/>
    <s v="16.00"/>
    <s v="cassiano.p"/>
    <s v="181 a 360"/>
    <s v="CPC"/>
    <x v="2"/>
  </r>
  <r>
    <s v="COGECOM"/>
    <n v="101672276"/>
    <s v="ANDRE GROSSI ESTEVES"/>
    <s v="OUT"/>
    <s v="OUTROS"/>
    <n v="5903615970"/>
    <x v="1"/>
    <s v="0.00"/>
    <s v="740.00"/>
    <n v="263"/>
    <s v="EM NEGOCIAÇÃO"/>
    <s v="ALTERACAO DEBITO"/>
    <n v="170"/>
    <x v="97"/>
    <s v="10.11"/>
    <s v="elizabel"/>
    <s v="181 a 360"/>
    <s v="ACIONAMENTO"/>
    <x v="2"/>
  </r>
  <r>
    <s v="COGECOM"/>
    <n v="10023276167"/>
    <s v="HUGO ANTUNES CAMPOS"/>
    <s v="OUT"/>
    <s v="OUTROS"/>
    <n v="2444148150"/>
    <x v="1"/>
    <s v="0.00"/>
    <s v="150.71"/>
    <n v="213"/>
    <s v="AG RESPOSTA 1º CONTATO"/>
    <s v="ENVIADO MSG/E-MAIL 1º CONTATO"/>
    <n v="169"/>
    <x v="97"/>
    <s v="16.39"/>
    <s v="cassiano.p"/>
    <s v="181 a 360"/>
    <s v="ACIONAMENTO"/>
    <x v="4"/>
  </r>
  <r>
    <s v="COGECOM"/>
    <n v="81786336"/>
    <s v="IVO FRANCISCO DA SILVA"/>
    <s v="OUT"/>
    <s v="OUTROS"/>
    <n v="49125230972"/>
    <x v="1"/>
    <s v="0.00"/>
    <s v="417.20"/>
    <n v="196"/>
    <s v="EM NEGOCIAÇÃO"/>
    <s v="ALTERACAO DEBITO"/>
    <n v="170"/>
    <x v="97"/>
    <s v="10.32"/>
    <s v="elizabel"/>
    <s v="181 a 360"/>
    <s v="ACIONAMENTO"/>
    <x v="2"/>
  </r>
  <r>
    <s v="COGECOM"/>
    <n v="43921959"/>
    <s v="JOEL CARLIS CAMPOS NETO"/>
    <s v="OUT"/>
    <s v="OUTROS"/>
    <n v="421165979"/>
    <x v="1"/>
    <s v="0.00"/>
    <s v="79.67"/>
    <n v="462"/>
    <s v="EM NEGOCIAÇÃO"/>
    <s v="ALTERACAO DEBITO"/>
    <n v="174"/>
    <x v="97"/>
    <s v="10.21"/>
    <s v="elizabel"/>
    <s v="Acima de 361"/>
    <s v="ACIONAMENTO"/>
    <x v="2"/>
  </r>
  <r>
    <s v="COGECOM"/>
    <n v="86824031"/>
    <s v="LIGA COMÉRCIO VAREJISTA DE MATERIAIS ELÉTRICOS LTDA ME"/>
    <s v="OUT"/>
    <s v="OUTROS"/>
    <n v="9268852000139"/>
    <x v="0"/>
    <s v="2899.59"/>
    <s v="685.58"/>
    <n v="189"/>
    <s v="EM NEGOCIAÇÃO"/>
    <s v="NEGOCIAÇÃO VIA WHATSAPP"/>
    <n v="170"/>
    <x v="98"/>
    <s v="13.19"/>
    <s v="roberto"/>
    <s v="181 a 360"/>
    <s v="CPC"/>
    <x v="2"/>
  </r>
  <r>
    <s v="COGECOM"/>
    <n v="1089412"/>
    <s v="CONDOMÍNIO EDIFÍCIO NEUDES CALIXTO"/>
    <s v="OUT"/>
    <s v="OUTROS"/>
    <n v="1043880000000"/>
    <x v="1"/>
    <s v="0.00"/>
    <s v="628.62"/>
    <n v="219"/>
    <s v="EM NEGOCIAÇÃO"/>
    <s v="ALTERACAO DEBITO"/>
    <n v="170"/>
    <x v="98"/>
    <s v="16.55"/>
    <s v="elizabel"/>
    <s v="181 a 360"/>
    <s v="ACIONAMENTO"/>
    <x v="2"/>
  </r>
  <r>
    <s v="COGECOM"/>
    <n v="5796865"/>
    <s v="EDVALDO JOSÉ DE SOUZA"/>
    <s v="OUT"/>
    <s v="OUTROS"/>
    <n v="57668914900"/>
    <x v="1"/>
    <s v="0.00"/>
    <s v="126.40"/>
    <n v="390"/>
    <s v="ACORDO VIGENTE COLCHÃO EM DIA"/>
    <s v="ALTERACAO DEBITO"/>
    <n v="174"/>
    <x v="99"/>
    <s v="15.25"/>
    <s v="elizabel"/>
    <s v="Acima de 361"/>
    <s v="ACIONAMENTO"/>
    <x v="2"/>
  </r>
  <r>
    <s v="COGECOM"/>
    <n v="3006736195"/>
    <s v="JOSE ALVES DOS PASSOS"/>
    <s v="OUT"/>
    <s v="OUTROS"/>
    <n v="57454884849"/>
    <x v="1"/>
    <s v="0.00"/>
    <s v="110.15"/>
    <n v="208"/>
    <s v="EM NEGOCIAÇÃO"/>
    <s v="ALTERACAO DEBITO"/>
    <n v="174"/>
    <x v="99"/>
    <s v="15.23"/>
    <s v="elizabel"/>
    <s v="181 a 360"/>
    <s v="ACIONAMENTO"/>
    <x v="2"/>
  </r>
  <r>
    <s v="COGECOM"/>
    <n v="3095332393"/>
    <s v="WELINTON HORACELIO PIRIZ MARAFIGA DA SILVA"/>
    <s v="OUT"/>
    <s v="OUTROS"/>
    <n v="2507368020"/>
    <x v="1"/>
    <s v="306.14"/>
    <s v="748.09"/>
    <n v="319"/>
    <s v="EM NEGOCIAÇÃO"/>
    <s v="NEGOCIAÇÃO VIA WHATSAPP"/>
    <n v="173"/>
    <x v="99"/>
    <s v="8.51"/>
    <s v="roberto"/>
    <s v="181 a 360"/>
    <s v="CPC"/>
    <x v="2"/>
  </r>
  <r>
    <s v="COGECOM"/>
    <n v="16674686"/>
    <s v="ANDREIA SILVA ANDRE"/>
    <s v="OUT"/>
    <s v="OUTROS"/>
    <n v="78657040115"/>
    <x v="1"/>
    <s v="174.35"/>
    <s v="158.50"/>
    <n v="335"/>
    <s v="ACORDO VIGENTE COLCHÃO EM DIA"/>
    <s v="ACORDO VIGENTE COLCHÃO EM DIA"/>
    <n v="174"/>
    <x v="100"/>
    <s v="15.38"/>
    <s v="adrimpra"/>
    <s v="181 a 360"/>
    <s v="CPC"/>
    <x v="2"/>
  </r>
  <r>
    <s v="COGECOM"/>
    <n v="107777916"/>
    <s v="MURILO DA SILVA KRECHINSKI"/>
    <s v="OUT"/>
    <s v="OUTROS"/>
    <n v="8793572905"/>
    <x v="1"/>
    <s v="0.00"/>
    <s v="60.14"/>
    <n v="340"/>
    <s v="ACORDO VIGENTE COLCHÃO EM DIA"/>
    <s v="ALTERACAO DEBITO"/>
    <n v="177"/>
    <x v="100"/>
    <s v="10.52"/>
    <s v="elizabel"/>
    <s v="181 a 360"/>
    <s v="ACIONAMENTO"/>
    <x v="2"/>
  </r>
  <r>
    <s v="COGECOM"/>
    <n v="2480022785"/>
    <s v="PAULO RODRIGUES DE SOUZA"/>
    <s v="OUT"/>
    <s v="OUTROS"/>
    <n v="33280622115"/>
    <x v="0"/>
    <s v="317.10"/>
    <s v="54.07"/>
    <n v="315"/>
    <s v="ACORDO VIGENTE COLCHÃO EM DIA"/>
    <s v="ACORDO VIGENTE COLCHÃO EM DIA"/>
    <n v="174"/>
    <x v="100"/>
    <s v="10.49"/>
    <s v="adrimpra"/>
    <s v="181 a 360"/>
    <s v="CPC"/>
    <x v="2"/>
  </r>
  <r>
    <s v="COGECOM"/>
    <n v="3090567763"/>
    <s v="ROGERIO FERNANDO MACHADO"/>
    <s v="OUT"/>
    <s v="OUTROS"/>
    <n v="64694380087"/>
    <x v="0"/>
    <s v="2920.47"/>
    <s v="960.27"/>
    <n v="188"/>
    <s v="EM NEGOCIAÇÃO"/>
    <s v="GERAÇÃO DE ACORDO"/>
    <n v="174"/>
    <x v="100"/>
    <s v="11.21"/>
    <s v="roberto"/>
    <s v="181 a 360"/>
    <s v="CPC"/>
    <x v="2"/>
  </r>
  <r>
    <s v="COGECOM"/>
    <n v="94326517"/>
    <s v="Kalebe Rafael Quadros"/>
    <s v="OUT"/>
    <s v="OUTROS"/>
    <n v="5874520996"/>
    <x v="1"/>
    <s v="142.72"/>
    <s v="139.47"/>
    <n v="191"/>
    <s v="ACORDO VIGENTE COLCHÃO EM ATRASO"/>
    <s v="ACORDO VIGENTE COLCHÃO EM ATRASO"/>
    <n v="176"/>
    <x v="101"/>
    <s v="9.31"/>
    <s v="adrimpra"/>
    <s v="181 a 360"/>
    <s v="CPC"/>
    <x v="2"/>
  </r>
  <r>
    <s v="COGECOM"/>
    <n v="3082273923"/>
    <s v="CELSO LORENZON E CIA LTDA"/>
    <s v="OUT"/>
    <s v="OUTROS"/>
    <n v="3261430000000"/>
    <x v="1"/>
    <s v="0.00"/>
    <s v="190.45"/>
    <n v="323"/>
    <s v="ACORDO VIGENTE COLCHÃO EM DIA"/>
    <s v="ALTERACAO DEBITO"/>
    <n v="180"/>
    <x v="102"/>
    <s v="11.11"/>
    <s v="elizabel"/>
    <s v="181 a 360"/>
    <s v="ACIONAMENTO"/>
    <x v="2"/>
  </r>
  <r>
    <s v="COGECOM"/>
    <n v="102813019"/>
    <s v="ALLINY PAOLA SOUZA DA SILVA"/>
    <s v="OUT"/>
    <s v="OUTROS"/>
    <n v="6810752951"/>
    <x v="0"/>
    <s v="424.73"/>
    <s v="291.42"/>
    <n v="186"/>
    <s v="ACORDO VIGENTE COLCHÃO EM DIA"/>
    <s v="ACORDO VIGENTE COLCHÃO EM DIA"/>
    <n v="182"/>
    <x v="103"/>
    <s v="14.42"/>
    <s v="adrimpra"/>
    <s v="181 a 360"/>
    <s v="CPC"/>
    <x v="2"/>
  </r>
  <r>
    <s v="COGECOM"/>
    <n v="47830249"/>
    <s v="CONDOMÍNIO RESIDENCIAL QUINTA DAS ARAUCÁRIAS"/>
    <s v="OUT"/>
    <s v="OUTROS"/>
    <n v="20189700000000"/>
    <x v="1"/>
    <s v="0.00"/>
    <s v="678.79"/>
    <n v="214"/>
    <s v="ACORDO VIGENTE COLCHÃO EM DIA"/>
    <s v="ALTERACAO DEBITO"/>
    <n v="183"/>
    <x v="103"/>
    <s v="9.06"/>
    <s v="elizabel"/>
    <s v="181 a 360"/>
    <s v="ACIONAMENTO"/>
    <x v="2"/>
  </r>
  <r>
    <s v="COGECOM"/>
    <n v="45369080"/>
    <s v="DAIANA DE FATIMA BERNARDES"/>
    <s v="OUT"/>
    <s v="OUTROS"/>
    <n v="3922302912"/>
    <x v="1"/>
    <s v="0.00"/>
    <s v="106.86"/>
    <n v="186"/>
    <s v="AG RESPOSTA 1º CONTATO"/>
    <s v="ENVIADO MSG/E-MAIL 1º CONTATO"/>
    <n v="182"/>
    <x v="103"/>
    <s v="11.00"/>
    <s v="cassiano.p"/>
    <s v="181 a 360"/>
    <s v="ACIONAMENTO"/>
    <x v="4"/>
  </r>
  <r>
    <s v="COGECOM"/>
    <n v="10034552918"/>
    <s v="DANIEL CALDAS BARROS"/>
    <s v="OUT"/>
    <s v="OUTROS"/>
    <n v="96967811134"/>
    <x v="1"/>
    <s v="0.00"/>
    <s v="62.41"/>
    <n v="211"/>
    <s v="ACORDO VIGENTE COLCHÃO EM DIA"/>
    <s v="ALTERACAO DEBITO"/>
    <n v="183"/>
    <x v="103"/>
    <s v="11.03"/>
    <s v="elizabel"/>
    <s v="181 a 360"/>
    <s v="ACIONAMENTO"/>
    <x v="2"/>
  </r>
  <r>
    <s v="COGECOM"/>
    <n v="3095400001"/>
    <s v="EDUARDO SIDNEI ROSA MARTINS"/>
    <s v="OUT"/>
    <s v="OUTROS"/>
    <n v="82043191004"/>
    <x v="1"/>
    <s v="0.00"/>
    <s v="122.31"/>
    <n v="203"/>
    <s v="ACORDO VIGENTE COLCHÃO EM DIA"/>
    <s v="ALTERACAO DEBITO"/>
    <n v="183"/>
    <x v="103"/>
    <s v="11.04"/>
    <s v="elizabel"/>
    <s v="181 a 360"/>
    <s v="ACIONAMENTO"/>
    <x v="2"/>
  </r>
  <r>
    <s v="COGECOM"/>
    <n v="10024686547"/>
    <s v="FELLIPE RIBEIRO FINOTTI DE AVILA"/>
    <s v="OUT"/>
    <s v="OUTROS"/>
    <n v="3093661196"/>
    <x v="1"/>
    <s v="956.07"/>
    <s v="426.21"/>
    <n v="319"/>
    <s v="SEM INTERESSE"/>
    <s v="SEM INTERESSE"/>
    <n v="182"/>
    <x v="103"/>
    <s v="14.47"/>
    <s v="roberto"/>
    <s v="181 a 360"/>
    <s v="CPC"/>
    <x v="1"/>
  </r>
  <r>
    <s v="COGECOM"/>
    <n v="55331626"/>
    <s v="HÉLIDE CRISTIELY NÓRDIO"/>
    <s v="OUT"/>
    <s v="OUTROS"/>
    <n v="3773011911"/>
    <x v="1"/>
    <s v="0.00"/>
    <s v="107.56"/>
    <n v="195"/>
    <s v="ACORDO VIGENTE COLCHÃO EM DIA"/>
    <s v="ALTERACAO DEBITO"/>
    <n v="183"/>
    <x v="103"/>
    <s v="11.03"/>
    <s v="elizabel"/>
    <s v="181 a 360"/>
    <s v="ACIONAMENTO"/>
    <x v="2"/>
  </r>
  <r>
    <s v="COGECOM"/>
    <n v="3010273993"/>
    <s v="LEONARDO RODRIGUES CARVALHO"/>
    <s v="OUT"/>
    <s v="OUTROS"/>
    <n v="7421797610"/>
    <x v="1"/>
    <s v="0.00"/>
    <s v="48.85"/>
    <n v="190"/>
    <m/>
    <s v="ALTERACAO DEBITO"/>
    <n v="9999"/>
    <x v="103"/>
    <s v="8.55"/>
    <s v="elizabel"/>
    <s v="181 a 360"/>
    <s v="ACIONAMENTO"/>
    <x v="4"/>
  </r>
  <r>
    <s v="COGECOM"/>
    <n v="50981525"/>
    <s v="LUAN GUOLO VARELA"/>
    <s v="OUT"/>
    <s v="OUTROS"/>
    <n v="939004909"/>
    <x v="1"/>
    <s v="0.00"/>
    <s v="137.63"/>
    <n v="191"/>
    <s v="EM NEGOCIAÇÃO"/>
    <s v="GERAÇÃO DE ACORDO"/>
    <n v="9999"/>
    <x v="103"/>
    <s v="10.10"/>
    <s v="elizabel"/>
    <s v="181 a 360"/>
    <s v="CPC"/>
    <x v="2"/>
  </r>
  <r>
    <s v="COGECOM"/>
    <n v="48103839"/>
    <s v="LUCI MERES DE PINHO QUADRADO"/>
    <s v="OUT"/>
    <s v="OUTROS"/>
    <n v="34289291015"/>
    <x v="1"/>
    <s v="115.52"/>
    <s v="91.44"/>
    <n v="219"/>
    <m/>
    <s v="GERAÇÃO DE ACORDO"/>
    <n v="9999"/>
    <x v="103"/>
    <s v="9.03"/>
    <s v="elizabel"/>
    <s v="181 a 360"/>
    <s v="CPC"/>
    <x v="4"/>
  </r>
  <r>
    <s v="COGECOM"/>
    <n v="10020672878"/>
    <s v="MAURICIO DE SOUZA TONHA JUNIOR"/>
    <s v="OUT"/>
    <s v="OUTROS"/>
    <n v="3756308138"/>
    <x v="1"/>
    <s v="199.59"/>
    <s v="61.53"/>
    <n v="189"/>
    <s v="ACORDO VIGENTE COLCHÃO EM DIA"/>
    <s v="ACORDO VIGENTE COLCHÃO EM DIA"/>
    <n v="182"/>
    <x v="103"/>
    <s v="15.08"/>
    <s v="adrimpra"/>
    <s v="181 a 360"/>
    <s v="CPC"/>
    <x v="2"/>
  </r>
  <r>
    <s v="COGECOM"/>
    <n v="48370586"/>
    <s v="MICHAEL DOLHOPIATY"/>
    <s v="OUT"/>
    <s v="OUTROS"/>
    <n v="4898269974"/>
    <x v="1"/>
    <s v="0.00"/>
    <s v="123.20"/>
    <n v="227"/>
    <s v="ACORDO VIGENTE COLCHÃO EM DIA"/>
    <s v="ALTERACAO DEBITO"/>
    <n v="183"/>
    <x v="103"/>
    <s v="11.05"/>
    <s v="elizabel"/>
    <s v="181 a 360"/>
    <s v="ACIONAMENTO"/>
    <x v="2"/>
  </r>
  <r>
    <s v="COGECOM"/>
    <n v="87222302"/>
    <s v="NATALI CUJARI DORNELLES"/>
    <s v="OUT"/>
    <s v="OUTROS"/>
    <n v="9296229952"/>
    <x v="1"/>
    <s v="0.00"/>
    <s v="256.33"/>
    <n v="227"/>
    <s v="AG RESPOSTA 1º CONTATO"/>
    <s v="ENVIADO MSG/E-MAIL 1º CONTATO"/>
    <n v="182"/>
    <x v="103"/>
    <s v="11.10"/>
    <s v="cassiano.p"/>
    <s v="181 a 360"/>
    <s v="ACIONAMENTO"/>
    <x v="4"/>
  </r>
  <r>
    <s v="COGECOM"/>
    <n v="10007274384"/>
    <s v="ADRIAN DE OLIVEIRA AZEVEDO JAPIASSU"/>
    <s v="OUT"/>
    <s v="OUTROS"/>
    <n v="43523390168"/>
    <x v="1"/>
    <s v="384.50"/>
    <s v="205.45"/>
    <n v="216"/>
    <s v="EM NEGOCIAÇÃO"/>
    <s v="NEGOCIAÇÃO VIA WHATSAPP"/>
    <n v="183"/>
    <x v="104"/>
    <s v="11.22"/>
    <s v="isabel"/>
    <s v="181 a 360"/>
    <s v="CPC"/>
    <x v="2"/>
  </r>
  <r>
    <s v="COGECOM"/>
    <n v="45272486"/>
    <s v="Alessandro Dos Santos Maciel"/>
    <s v="OUT"/>
    <s v="OUTROS"/>
    <n v="922983208"/>
    <x v="1"/>
    <s v="0.00"/>
    <s v="62.86"/>
    <n v="376"/>
    <s v="EM NEGOCIAÇÃO"/>
    <s v="NEGOCIAÇÃO VIA WHATSAPP"/>
    <n v="183"/>
    <x v="104"/>
    <s v="10.01"/>
    <s v="cassiano.p"/>
    <s v="Acima de 361"/>
    <s v="CPC"/>
    <x v="2"/>
  </r>
  <r>
    <s v="COGECOM"/>
    <n v="4001834090"/>
    <s v="ALESSANDRO SOCCOL BARBIERI"/>
    <s v="OUT"/>
    <s v="OUTROS"/>
    <n v="61532185049"/>
    <x v="1"/>
    <s v="0.00"/>
    <s v="203.43"/>
    <n v="206"/>
    <s v="SEM INTERESSE"/>
    <s v="SEM INTERESSE"/>
    <n v="183"/>
    <x v="104"/>
    <s v="11.33"/>
    <s v="isabel"/>
    <s v="181 a 360"/>
    <s v="CPC"/>
    <x v="1"/>
  </r>
  <r>
    <s v="COGECOM"/>
    <n v="40392890"/>
    <s v="ALEXANDRA REGINA DA SILVA"/>
    <s v="OUT"/>
    <s v="OUTROS"/>
    <n v="1640504931"/>
    <x v="1"/>
    <s v="417.84"/>
    <s v="479.77"/>
    <n v="162"/>
    <s v="EM NEGOCIAÇÃO"/>
    <s v="NEGOCIAÇÃO VIA WHATSAPP"/>
    <n v="183"/>
    <x v="104"/>
    <s v="9.50"/>
    <s v="cassiano.p"/>
    <s v="91 a 180"/>
    <s v="CPC"/>
    <x v="2"/>
  </r>
  <r>
    <s v="COGECOM"/>
    <n v="63397471"/>
    <s v="ANDERSON LOPES SCHNEIDER"/>
    <s v="OUT"/>
    <s v="OUTROS"/>
    <n v="2690412900"/>
    <x v="1"/>
    <s v="0.00"/>
    <s v="941.29"/>
    <n v="187"/>
    <s v="EM NEGOCIAÇÃO"/>
    <s v="NEGOCIAÇÃO VIA WHATSAPP"/>
    <n v="183"/>
    <x v="104"/>
    <s v="11.55"/>
    <s v="isabel"/>
    <s v="181 a 360"/>
    <s v="CPC"/>
    <x v="2"/>
  </r>
  <r>
    <s v="COGECOM"/>
    <n v="23267992"/>
    <s v="ANTONIO PEREIRA DE FREITAS"/>
    <s v="OUT"/>
    <s v="OUTROS"/>
    <n v="53164270925"/>
    <x v="1"/>
    <s v="0.00"/>
    <s v="701.73"/>
    <n v="449"/>
    <s v="EM NEGOCIAÇÃO"/>
    <s v="NEGOCIAÇÃO VIA WHATSAPP"/>
    <n v="183"/>
    <x v="104"/>
    <s v="10.00"/>
    <s v="adrimpra"/>
    <s v="Acima de 361"/>
    <s v="CPC"/>
    <x v="2"/>
  </r>
  <r>
    <s v="COGECOM"/>
    <n v="10914614"/>
    <s v="ARETUSA BARROS CARVALHO DE OLIVEIRA"/>
    <s v="OUT"/>
    <s v="OUTROS"/>
    <n v="93006632168"/>
    <x v="1"/>
    <s v="0.00"/>
    <s v="46.15"/>
    <n v="211"/>
    <s v="EM NEGOCIAÇÃO"/>
    <s v="NEGOCIAÇÃO VIA TELEFONE"/>
    <n v="183"/>
    <x v="104"/>
    <s v="13.15"/>
    <s v="vania.freire"/>
    <s v="181 a 360"/>
    <s v="CPC"/>
    <x v="2"/>
  </r>
  <r>
    <s v="COGECOM"/>
    <n v="92641300"/>
    <s v="CARLOS AUGUSTO SELLA"/>
    <s v="OUT"/>
    <s v="OUTROS"/>
    <n v="4684727890"/>
    <x v="1"/>
    <s v="0.00"/>
    <s v="54.66"/>
    <n v="613"/>
    <s v="ACORDO VIGENTE COLCHÃO EM DIA"/>
    <s v="ALTERACAO DEBITO"/>
    <n v="184"/>
    <x v="104"/>
    <s v="11.55"/>
    <s v="elizabel"/>
    <s v="Acima de 361"/>
    <s v="ACIONAMENTO"/>
    <x v="2"/>
  </r>
  <r>
    <s v="COGECOM"/>
    <n v="99697360"/>
    <s v="ERNANI DE OLIVEIRA AMARAL JUNIOR"/>
    <s v="OUT"/>
    <s v="OUTROS"/>
    <n v="932859909"/>
    <x v="1"/>
    <s v="0.00"/>
    <s v="114.70"/>
    <n v="194"/>
    <s v="EM NEGOCIAÇÃO"/>
    <s v="NEGOCIAÇÃO VIA TELEFONE"/>
    <n v="183"/>
    <x v="104"/>
    <s v="14.52"/>
    <s v="vania.freire"/>
    <s v="181 a 360"/>
    <s v="CPC"/>
    <x v="2"/>
  </r>
  <r>
    <s v="COGECOM"/>
    <n v="52335132"/>
    <s v="FELIPE ABREU LIMA DE ANDRADE"/>
    <s v="OUT"/>
    <s v="OUTROS"/>
    <n v="13603734700"/>
    <x v="1"/>
    <s v="467.37"/>
    <s v="239.80"/>
    <n v="242"/>
    <s v="EM NEGOCIAÇÃO"/>
    <s v="NEGOCIAÇÃO VIA WHATSAPP"/>
    <n v="183"/>
    <x v="104"/>
    <s v="10.22"/>
    <s v="cassiano.p"/>
    <s v="181 a 360"/>
    <s v="CPC"/>
    <x v="2"/>
  </r>
  <r>
    <s v="COGECOM"/>
    <n v="3006610284"/>
    <s v="FRANCISCO DOS ANJOS"/>
    <s v="OUT"/>
    <s v="OUTROS"/>
    <n v="61410756653"/>
    <x v="1"/>
    <s v="0.00"/>
    <s v="87.16"/>
    <n v="608"/>
    <s v="EM NEGOCIAÇÃO"/>
    <s v="DIVIDA CONTESTADA PELO DEVEDOR"/>
    <n v="183"/>
    <x v="104"/>
    <s v="15.20"/>
    <s v="vania.freire"/>
    <s v="Acima de 361"/>
    <s v="CPC"/>
    <x v="2"/>
  </r>
  <r>
    <s v="COGECOM"/>
    <n v="92004873"/>
    <s v="GILVANA PESSI MAYORCA CAMARGO"/>
    <s v="OUT"/>
    <s v="OUTROS"/>
    <n v="70262861020"/>
    <x v="1"/>
    <s v="0.00"/>
    <s v="98.73"/>
    <n v="191"/>
    <s v="EM NEGOCIAÇÃO"/>
    <s v="DIVIDA CONTESTADA PELO DEVEDOR"/>
    <n v="183"/>
    <x v="104"/>
    <s v="15.20"/>
    <s v="isabel"/>
    <s v="181 a 360"/>
    <s v="CPC"/>
    <x v="2"/>
  </r>
  <r>
    <s v="COGECOM"/>
    <n v="3001597248"/>
    <s v="HELEN ROUSE DE CARVALHO FERREIRA"/>
    <s v="OUT"/>
    <s v="OUTROS"/>
    <n v="742168646"/>
    <x v="1"/>
    <s v="0.00"/>
    <s v="148.59"/>
    <n v="186"/>
    <s v="EM NEGOCIAÇÃO"/>
    <s v="NEGOCIAÇÃO VIA TELEFONE"/>
    <n v="183"/>
    <x v="104"/>
    <s v="15.33"/>
    <s v="isabel"/>
    <s v="181 a 360"/>
    <s v="CPC"/>
    <x v="2"/>
  </r>
  <r>
    <s v="COGECOM"/>
    <n v="75296675"/>
    <s v="JOAO GUILHERME SATURNO"/>
    <s v="OUT"/>
    <s v="OUTROS"/>
    <n v="5884884966"/>
    <x v="1"/>
    <s v="373.61"/>
    <s v="92.39"/>
    <n v="547"/>
    <s v="ACORDO VIGENTE COLCHÃO EM DIA"/>
    <s v="ACORDO VIGENTE COLCHÃO EM DIA"/>
    <n v="183"/>
    <x v="104"/>
    <s v="16.09"/>
    <s v="vania.freire"/>
    <s v="Acima de 361"/>
    <s v="CPC"/>
    <x v="2"/>
  </r>
  <r>
    <s v="COGECOM"/>
    <n v="103923276"/>
    <s v="KAUE EBER QUADROS"/>
    <s v="OUT"/>
    <s v="OUTROS"/>
    <n v="671358979"/>
    <x v="1"/>
    <s v="1325.74"/>
    <s v="457.77"/>
    <n v="419"/>
    <s v="EM NEGOCIAÇÃO"/>
    <s v="GERAÇÃO DE ACORDO"/>
    <n v="183"/>
    <x v="104"/>
    <s v="14.45"/>
    <s v="cassiano.p"/>
    <s v="Acima de 361"/>
    <s v="CPC"/>
    <x v="2"/>
  </r>
  <r>
    <s v="COGECOM"/>
    <n v="40044736"/>
    <s v="MATHEUS SANTOS SOUSA E SILVA"/>
    <s v="OUT"/>
    <s v="OUTROS"/>
    <n v="2370917555"/>
    <x v="0"/>
    <s v="487.46"/>
    <s v="200.30"/>
    <n v="217"/>
    <m/>
    <s v="SOLICITAR EXTINÇÃO DA AÇÃO"/>
    <n v="9999"/>
    <x v="104"/>
    <s v="16.59"/>
    <s v="isabel"/>
    <s v="181 a 360"/>
    <s v="ACIONAMENTO"/>
    <x v="4"/>
  </r>
  <r>
    <s v="COGECOM"/>
    <n v="92956394"/>
    <s v="REGIANE CRISTINA ARAUJO"/>
    <s v="OUT"/>
    <s v="OUTROS"/>
    <n v="4123849903"/>
    <x v="1"/>
    <s v="0.00"/>
    <s v="338.06"/>
    <n v="206"/>
    <s v="ACORDO VIGENTE COLCHÃO EM ATRASO"/>
    <s v="ALTERACAO DEBITO"/>
    <n v="184"/>
    <x v="104"/>
    <s v="12.09"/>
    <s v="elizabel"/>
    <s v="181 a 360"/>
    <s v="ACIONAMENTO"/>
    <x v="2"/>
  </r>
  <r>
    <s v="COGECOM"/>
    <n v="40557539"/>
    <s v="AMILTON FRANCO DOS SANTOS"/>
    <s v="OUT"/>
    <s v="OUTROS"/>
    <n v="90145208915"/>
    <x v="1"/>
    <s v="314.74"/>
    <s v="115.56"/>
    <n v="199"/>
    <s v="EM NEGOCIAÇÃO"/>
    <s v="NEGOCIAÇÃO VIA WHATSAPP"/>
    <n v="184"/>
    <x v="105"/>
    <s v="16.51"/>
    <s v="adrimpra"/>
    <s v="181 a 360"/>
    <s v="CPC"/>
    <x v="2"/>
  </r>
  <r>
    <s v="COGECOM"/>
    <n v="47711908"/>
    <s v="GUILHERME PEREIRA COELHO"/>
    <s v="OUT"/>
    <s v="OUTROS"/>
    <n v="5439128921"/>
    <x v="1"/>
    <s v="0.00"/>
    <s v="152.16"/>
    <n v="186"/>
    <s v="EM NEGOCIAÇÃO"/>
    <s v="DIVIDA CONTESTADA PELO DEVEDOR"/>
    <n v="184"/>
    <x v="105"/>
    <s v="14.45"/>
    <s v="vania.freire"/>
    <s v="181 a 360"/>
    <s v="CPC"/>
    <x v="2"/>
  </r>
  <r>
    <s v="COGECOM"/>
    <n v="51018710"/>
    <s v="KELLI CRISTINA DE MELLO"/>
    <s v="OUT"/>
    <s v="OUTROS"/>
    <n v="9777772947"/>
    <x v="1"/>
    <s v="0.00"/>
    <s v="169.13"/>
    <n v="186"/>
    <s v="EM NEGOCIAÇÃO"/>
    <s v="NEGOCIAÇÃO VIA WHATSAPP"/>
    <n v="184"/>
    <x v="105"/>
    <s v="16.41"/>
    <s v="adrimpra"/>
    <s v="181 a 360"/>
    <s v="CPC"/>
    <x v="2"/>
  </r>
  <r>
    <s v="COGECOM"/>
    <n v="89007387"/>
    <s v="LUIZ CARLOS PSCHEIDT"/>
    <s v="OUT"/>
    <s v="OUTROS"/>
    <n v="1749941929"/>
    <x v="1"/>
    <s v="0.00"/>
    <s v="167.04"/>
    <n v="186"/>
    <s v="EM NEGOCIAÇÃO"/>
    <s v="NEGOCIAÇÃO VIA WHATSAPP"/>
    <n v="184"/>
    <x v="105"/>
    <s v="16.24"/>
    <s v="isabel"/>
    <s v="181 a 360"/>
    <s v="CPC"/>
    <x v="2"/>
  </r>
  <r>
    <s v="COGECOM"/>
    <n v="43260618"/>
    <s v="LUIZ HENRIQUE DE OLIVEIRA DE MOURA"/>
    <s v="OUT"/>
    <s v="OUTROS"/>
    <n v="5392290914"/>
    <x v="1"/>
    <s v="0.00"/>
    <s v="151.30"/>
    <n v="193"/>
    <s v="EM NEGOCIAÇÃO"/>
    <s v="DEVOLVIDO PARA CLIENTE"/>
    <n v="191"/>
    <x v="105"/>
    <s v="15.09"/>
    <s v="isabel"/>
    <s v="181 a 360"/>
    <s v="-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83931-A98F-49A6-8B10-12103E0504F9}" name="Tabela dinâmica1" cacheId="297" applyNumberFormats="0" applyBorderFormats="0" applyFontFormats="0" applyPatternFormats="0" applyAlignmentFormats="0" applyWidthHeightFormats="1" dataCaption="Valores" updatedVersion="8" minRefreshableVersion="5" itemPrintTitles="1" createdVersion="8" indent="0" outline="1" outlineData="1" multipleFieldFilters="0" chartFormat="14" rowHeaderCaption="STATUS BASE">
  <location ref="J5:K12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07"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2"/>
        <item x="1"/>
        <item x="3"/>
        <item x="4"/>
        <item x="0"/>
        <item x="5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6" hier="-1"/>
  </pageFields>
  <dataFields count="1">
    <dataField name="VOLUME" fld="18" subtotal="count" baseField="0" baseItem="0"/>
  </dataFields>
  <formats count="23">
    <format dxfId="0">
      <pivotArea dataOnly="0" labelOnly="1" outline="0" axis="axisValues" fieldPosition="0"/>
    </format>
    <format dxfId="1">
      <pivotArea dataOnly="0" labelOnly="1" fieldPosition="0">
        <references count="1">
          <reference field="18" count="0"/>
        </references>
      </pivotArea>
    </format>
    <format dxfId="2">
      <pivotArea field="18" type="button" dataOnly="0" labelOnly="1" outline="0" axis="axisRow" fieldPosition="0"/>
    </format>
    <format dxfId="3">
      <pivotArea dataOnly="0" labelOnly="1" outline="0" axis="axisValues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18" type="button" dataOnly="0" labelOnly="1" outline="0" axis="axisRow" fieldPosition="0"/>
    </format>
    <format dxfId="7">
      <pivotArea dataOnly="0" labelOnly="1" fieldPosition="0">
        <references count="1">
          <reference field="18" count="0"/>
        </references>
      </pivotArea>
    </format>
    <format dxfId="8">
      <pivotArea dataOnly="0" labelOnly="1" grandRow="1" outline="0" fieldPosition="0"/>
    </format>
    <format dxfId="9">
      <pivotArea dataOnly="0" labelOnly="1" outline="0" axis="axisValues" fieldPosition="0"/>
    </format>
    <format dxfId="10">
      <pivotArea collapsedLevelsAreSubtotals="1" fieldPosition="0">
        <references count="1">
          <reference field="18" count="0"/>
        </references>
      </pivotArea>
    </format>
    <format dxfId="11">
      <pivotArea dataOnly="0" labelOnly="1" fieldPosition="0">
        <references count="1">
          <reference field="18" count="0"/>
        </references>
      </pivotArea>
    </format>
    <format dxfId="12">
      <pivotArea dataOnly="0" labelOnly="1" fieldPosition="0">
        <references count="1">
          <reference field="18" count="0"/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8" type="button" dataOnly="0" labelOnly="1" outline="0" axis="axisRow" fieldPosition="0"/>
    </format>
    <format dxfId="16">
      <pivotArea dataOnly="0" labelOnly="1" fieldPosition="0">
        <references count="1">
          <reference field="18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  <format dxfId="19">
      <pivotArea field="18" type="button" dataOnly="0" labelOnly="1" outline="0" axis="axisRow" fieldPosition="0"/>
    </format>
    <format dxfId="20">
      <pivotArea dataOnly="0" labelOnly="1" outline="0" axis="axisValues" fieldPosition="0"/>
    </format>
    <format dxfId="21">
      <pivotArea grandRow="1" outline="0" collapsedLevelsAreSubtotals="1" fieldPosition="0"/>
    </format>
    <format dxfId="22">
      <pivotArea dataOnly="0" labelOnly="1" grandRow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1A7A02D-0287-4E97-B1CD-0C5252BE3088}" sourceName="STATUS">
  <pivotTables>
    <pivotTable tabId="9" name="Tabela dinâmica1"/>
  </pivotTables>
  <data>
    <tabular pivotCacheId="649741978">
      <items count="6">
        <i x="2" s="1"/>
        <i x="5" s="1"/>
        <i x="0" s="1"/>
        <i x="3" s="1"/>
        <i x="4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F1124D36-858E-4FB6-A168-1DE0400AFFCE}" cache="SegmentaçãodeDados_STATUS" caption="STATUS" style="SlicerStyleDark6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T_ACION" xr10:uid="{0BF514C9-6F81-4C0C-972E-61289D9490AC}" sourceName="DT_ACION">
  <pivotTables>
    <pivotTable tabId="9" name="Tabela dinâmica1"/>
  </pivotTables>
  <state minimalRefreshVersion="6" lastRefreshVersion="6" pivotCacheId="649741978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T_ACION" xr10:uid="{1E62D456-98A1-4575-829B-F96D95E253C1}" cache="NativeTimeline_DT_ACION" caption="DT_ACION" level="0" selectionLevel="0" scrollPosition="2024-01-01T00:00:00" style="TimeSlicerStyleDark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2BC3-62D0-46B5-99FE-47CEBAA3F81F}">
  <dimension ref="A1:Q100"/>
  <sheetViews>
    <sheetView zoomScaleNormal="100" workbookViewId="0">
      <selection activeCell="C14" sqref="C14"/>
    </sheetView>
  </sheetViews>
  <sheetFormatPr defaultRowHeight="15"/>
  <cols>
    <col min="1" max="1" width="11.5703125" bestFit="1" customWidth="1"/>
    <col min="2" max="2" width="26" bestFit="1" customWidth="1"/>
    <col min="3" max="3" width="24.5703125" bestFit="1" customWidth="1"/>
    <col min="4" max="4" width="26" bestFit="1" customWidth="1"/>
    <col min="5" max="5" width="24.5703125" bestFit="1" customWidth="1"/>
    <col min="6" max="6" width="21.85546875" bestFit="1" customWidth="1"/>
    <col min="8" max="8" width="17.28515625" bestFit="1" customWidth="1"/>
  </cols>
  <sheetData>
    <row r="1" spans="2:17">
      <c r="B1" s="7" t="s">
        <v>0</v>
      </c>
      <c r="C1" s="6" t="s">
        <v>1</v>
      </c>
    </row>
    <row r="2" spans="2:17">
      <c r="B2" t="s">
        <v>2</v>
      </c>
      <c r="C2" s="9">
        <v>0.13789999999999999</v>
      </c>
    </row>
    <row r="3" spans="2:17">
      <c r="B3" t="s">
        <v>3</v>
      </c>
      <c r="C3" s="9">
        <v>0.15590000000000001</v>
      </c>
    </row>
    <row r="4" spans="2:17">
      <c r="B4" t="s">
        <v>4</v>
      </c>
      <c r="C4" s="9">
        <v>0.17180000000000001</v>
      </c>
    </row>
    <row r="5" spans="2:17">
      <c r="B5" t="s">
        <v>5</v>
      </c>
      <c r="C5" s="9">
        <v>0.19159999999999999</v>
      </c>
    </row>
    <row r="6" spans="2:17">
      <c r="B6" t="s">
        <v>6</v>
      </c>
      <c r="C6" s="9">
        <v>0.15379999999999999</v>
      </c>
    </row>
    <row r="7" spans="2:17">
      <c r="C7" s="9"/>
    </row>
    <row r="8" spans="2:17">
      <c r="C8" s="9"/>
    </row>
    <row r="9" spans="2:17">
      <c r="C9" s="9"/>
    </row>
    <row r="10" spans="2:17">
      <c r="B10" t="s">
        <v>7</v>
      </c>
      <c r="C10" s="9">
        <v>0.19339999999999999</v>
      </c>
    </row>
    <row r="16" spans="2:17">
      <c r="B16" s="7" t="s">
        <v>8</v>
      </c>
      <c r="Q16" s="7"/>
    </row>
    <row r="17" spans="2:17">
      <c r="B17" s="7" t="s">
        <v>9</v>
      </c>
      <c r="C17" s="8" t="s">
        <v>10</v>
      </c>
      <c r="Q17" s="7"/>
    </row>
    <row r="18" spans="2:17">
      <c r="B18" s="1">
        <v>137811.1</v>
      </c>
      <c r="C18" s="2">
        <v>45870</v>
      </c>
    </row>
    <row r="19" spans="2:17">
      <c r="B19" s="1">
        <v>139781.35</v>
      </c>
      <c r="C19" s="2">
        <v>45873</v>
      </c>
    </row>
    <row r="20" spans="2:17">
      <c r="B20" s="1">
        <v>139940.07</v>
      </c>
      <c r="C20" s="2">
        <v>45874</v>
      </c>
    </row>
    <row r="21" spans="2:17">
      <c r="B21" s="1">
        <v>142622.43</v>
      </c>
      <c r="C21" s="2">
        <v>45875</v>
      </c>
    </row>
    <row r="22" spans="2:17">
      <c r="B22" s="1">
        <v>142626.82999999999</v>
      </c>
      <c r="C22" s="2">
        <v>45876</v>
      </c>
    </row>
    <row r="23" spans="2:17">
      <c r="B23" s="1">
        <v>143453.12</v>
      </c>
      <c r="C23" s="2">
        <v>45877</v>
      </c>
    </row>
    <row r="24" spans="2:17">
      <c r="B24" s="1">
        <v>144395.71</v>
      </c>
      <c r="C24" s="2">
        <v>45880</v>
      </c>
    </row>
    <row r="25" spans="2:17">
      <c r="B25" s="1">
        <v>146646.34</v>
      </c>
      <c r="C25" s="2">
        <v>45881</v>
      </c>
    </row>
    <row r="26" spans="2:17">
      <c r="B26" s="1">
        <v>162609.68</v>
      </c>
      <c r="C26" s="2">
        <v>45882</v>
      </c>
    </row>
    <row r="27" spans="2:17">
      <c r="B27" s="1">
        <v>165662.04999999999</v>
      </c>
      <c r="C27" s="2">
        <v>45883</v>
      </c>
    </row>
    <row r="28" spans="2:17">
      <c r="B28" s="1">
        <v>167014.25</v>
      </c>
      <c r="C28" s="2">
        <v>45884</v>
      </c>
    </row>
    <row r="29" spans="2:17">
      <c r="B29" s="1">
        <v>224206.62</v>
      </c>
      <c r="C29" s="2">
        <v>45887</v>
      </c>
    </row>
    <row r="30" spans="2:17">
      <c r="B30" s="1">
        <v>224969.45</v>
      </c>
      <c r="C30" s="2">
        <v>45888</v>
      </c>
    </row>
    <row r="31" spans="2:17">
      <c r="B31" s="1">
        <v>227784.65</v>
      </c>
      <c r="C31" s="2">
        <v>45889</v>
      </c>
    </row>
    <row r="32" spans="2:17">
      <c r="B32" s="1">
        <v>230393.57</v>
      </c>
      <c r="C32" s="2">
        <v>45890</v>
      </c>
    </row>
    <row r="33" spans="1:4">
      <c r="B33" s="1">
        <v>242772.97</v>
      </c>
      <c r="C33" s="2">
        <v>45891</v>
      </c>
    </row>
    <row r="34" spans="1:4">
      <c r="B34" s="1">
        <v>242951.09</v>
      </c>
      <c r="C34" s="2">
        <v>45894</v>
      </c>
    </row>
    <row r="35" spans="1:4">
      <c r="B35" s="1">
        <v>255345.88</v>
      </c>
      <c r="C35" s="2">
        <v>45895</v>
      </c>
    </row>
    <row r="36" spans="1:4">
      <c r="B36" s="1">
        <v>286996.58</v>
      </c>
      <c r="C36" s="2">
        <v>45896</v>
      </c>
    </row>
    <row r="37" spans="1:4">
      <c r="B37" s="1">
        <v>291647.33</v>
      </c>
      <c r="C37" s="2">
        <v>45897</v>
      </c>
      <c r="D37" s="1"/>
    </row>
    <row r="38" spans="1:4">
      <c r="B38" s="1">
        <v>301976.81</v>
      </c>
      <c r="C38" s="2">
        <v>45898</v>
      </c>
      <c r="D38" s="1"/>
    </row>
    <row r="39" spans="1:4">
      <c r="B39" s="1"/>
      <c r="C39" s="2"/>
      <c r="D39" s="1"/>
    </row>
    <row r="40" spans="1:4">
      <c r="C40" s="1"/>
      <c r="D40" s="1"/>
    </row>
    <row r="43" spans="1:4">
      <c r="B43" t="s">
        <v>11</v>
      </c>
      <c r="C43" t="s">
        <v>12</v>
      </c>
      <c r="D43" t="s">
        <v>1</v>
      </c>
    </row>
    <row r="44" spans="1:4">
      <c r="A44" s="18">
        <v>45717</v>
      </c>
      <c r="B44" s="5">
        <v>18093.11</v>
      </c>
      <c r="C44" s="5">
        <v>4586.37</v>
      </c>
      <c r="D44" s="10">
        <f>C44/B44</f>
        <v>0.2534871008908916</v>
      </c>
    </row>
    <row r="45" spans="1:4">
      <c r="A45" s="18">
        <v>45748</v>
      </c>
      <c r="B45" s="5">
        <v>105241.38</v>
      </c>
      <c r="C45" s="5">
        <v>10365.75</v>
      </c>
      <c r="D45" s="10">
        <f>C45/B45</f>
        <v>9.8495002631094342E-2</v>
      </c>
    </row>
    <row r="46" spans="1:4">
      <c r="A46" s="18">
        <v>45778</v>
      </c>
      <c r="B46" s="5">
        <v>120323.09</v>
      </c>
      <c r="C46" s="5">
        <v>11901.11</v>
      </c>
      <c r="D46" s="10">
        <f t="shared" ref="D46:D50" si="0">C46/B46</f>
        <v>9.8909610782103433E-2</v>
      </c>
    </row>
    <row r="47" spans="1:4">
      <c r="A47" s="18">
        <v>45809</v>
      </c>
      <c r="B47" s="5">
        <v>266451.06</v>
      </c>
      <c r="C47" s="5">
        <v>43455.41</v>
      </c>
      <c r="D47" s="10">
        <f t="shared" si="0"/>
        <v>0.16308964955890964</v>
      </c>
    </row>
    <row r="48" spans="1:4">
      <c r="A48" s="18">
        <v>45839</v>
      </c>
      <c r="B48" s="5">
        <v>493402.24</v>
      </c>
      <c r="C48" s="5">
        <v>64597.31</v>
      </c>
      <c r="D48" s="10">
        <f t="shared" si="0"/>
        <v>0.13092220659557605</v>
      </c>
    </row>
    <row r="49" spans="1:7">
      <c r="A49" s="18">
        <v>45870</v>
      </c>
      <c r="B49" s="5">
        <v>423602.75</v>
      </c>
      <c r="C49" s="5">
        <v>151785.32</v>
      </c>
      <c r="D49" s="10">
        <f t="shared" si="0"/>
        <v>0.3583199589709935</v>
      </c>
    </row>
    <row r="50" spans="1:7">
      <c r="B50" s="5">
        <f>SUM(B44:B49)</f>
        <v>1427113.63</v>
      </c>
      <c r="C50" s="5">
        <f>SUM(C44:C49)</f>
        <v>286691.27</v>
      </c>
      <c r="D50" s="10">
        <f t="shared" si="0"/>
        <v>0.20088888787363066</v>
      </c>
    </row>
    <row r="55" spans="1:7">
      <c r="B55" s="8" t="s">
        <v>13</v>
      </c>
    </row>
    <row r="56" spans="1:7">
      <c r="B56" s="9">
        <v>0.15079999999999999</v>
      </c>
    </row>
    <row r="58" spans="1:7">
      <c r="B58" s="14" t="s">
        <v>14</v>
      </c>
      <c r="C58" t="s">
        <v>15</v>
      </c>
    </row>
    <row r="59" spans="1:7">
      <c r="B59" s="13">
        <v>350213.52</v>
      </c>
      <c r="C59" s="13">
        <v>1993023.27</v>
      </c>
      <c r="D59" s="10">
        <f>B59/C59</f>
        <v>0.17571973457188989</v>
      </c>
    </row>
    <row r="63" spans="1:7">
      <c r="D63" s="11" t="s">
        <v>16</v>
      </c>
      <c r="E63" t="s">
        <v>17</v>
      </c>
    </row>
    <row r="64" spans="1:7">
      <c r="D64" s="13">
        <v>301976.81</v>
      </c>
      <c r="E64" s="12">
        <v>1408906.69</v>
      </c>
      <c r="G64" s="10"/>
    </row>
    <row r="65" spans="1:5">
      <c r="B65" s="11"/>
      <c r="C65" s="11"/>
      <c r="E65" s="16">
        <f>D64/E64</f>
        <v>0.21433414444217028</v>
      </c>
    </row>
    <row r="66" spans="1:5">
      <c r="E66" s="11"/>
    </row>
    <row r="67" spans="1:5">
      <c r="D67" s="12"/>
      <c r="E67" s="13"/>
    </row>
    <row r="68" spans="1:5">
      <c r="B68" t="s">
        <v>18</v>
      </c>
      <c r="D68" s="12"/>
      <c r="E68" s="15"/>
    </row>
    <row r="71" spans="1:5">
      <c r="C71" s="5"/>
    </row>
    <row r="72" spans="1:5">
      <c r="A72" s="2">
        <v>45889</v>
      </c>
      <c r="B72" s="17">
        <v>228925.51</v>
      </c>
      <c r="C72" s="17"/>
    </row>
    <row r="73" spans="1:5">
      <c r="B73" s="17">
        <v>1465099.35</v>
      </c>
    </row>
    <row r="75" spans="1:5">
      <c r="A75" s="2">
        <v>45890</v>
      </c>
      <c r="B75" s="17">
        <v>230393.57</v>
      </c>
    </row>
    <row r="76" spans="1:5">
      <c r="B76" s="17">
        <v>1522336.65</v>
      </c>
    </row>
    <row r="78" spans="1:5">
      <c r="A78" s="2">
        <v>45891</v>
      </c>
      <c r="B78" s="17">
        <v>242772.97</v>
      </c>
    </row>
    <row r="79" spans="1:5">
      <c r="B79" s="17">
        <v>1609944.08</v>
      </c>
    </row>
    <row r="81" spans="1:6">
      <c r="A81" s="2">
        <v>45894</v>
      </c>
      <c r="B81" s="17">
        <v>242951.69</v>
      </c>
    </row>
    <row r="82" spans="1:6">
      <c r="B82" s="17">
        <v>1412496.42</v>
      </c>
    </row>
    <row r="84" spans="1:6">
      <c r="A84" s="2">
        <v>45895</v>
      </c>
      <c r="B84" s="5">
        <v>286996.58</v>
      </c>
      <c r="C84" s="1"/>
    </row>
    <row r="85" spans="1:6">
      <c r="B85" s="17">
        <v>1414335.73</v>
      </c>
    </row>
    <row r="86" spans="1:6">
      <c r="B86" s="17"/>
    </row>
    <row r="87" spans="1:6">
      <c r="A87" s="2">
        <v>45896</v>
      </c>
      <c r="B87" s="17">
        <v>1410661.04</v>
      </c>
      <c r="E87" s="5">
        <v>1756703.1</v>
      </c>
      <c r="F87" s="5">
        <v>283276.25</v>
      </c>
    </row>
    <row r="88" spans="1:6">
      <c r="B88" s="17">
        <v>286996.58</v>
      </c>
      <c r="F88" s="19"/>
    </row>
    <row r="90" spans="1:6">
      <c r="A90" s="2">
        <v>45897</v>
      </c>
      <c r="B90" s="17">
        <v>1410662.45</v>
      </c>
    </row>
    <row r="91" spans="1:6">
      <c r="B91" s="17">
        <v>291647.33</v>
      </c>
    </row>
    <row r="92" spans="1:6">
      <c r="B92" s="17"/>
    </row>
    <row r="93" spans="1:6">
      <c r="A93" s="2">
        <v>45898</v>
      </c>
      <c r="B93" s="12">
        <v>1408906.69</v>
      </c>
    </row>
    <row r="94" spans="1:6">
      <c r="B94" s="13">
        <v>301976.81</v>
      </c>
    </row>
    <row r="97" spans="1:2">
      <c r="B97" s="17">
        <v>1769093.94</v>
      </c>
    </row>
    <row r="98" spans="1:2">
      <c r="A98" t="s">
        <v>19</v>
      </c>
      <c r="B98">
        <v>258388.82</v>
      </c>
    </row>
    <row r="99" spans="1:2">
      <c r="A99" t="s">
        <v>20</v>
      </c>
      <c r="B99">
        <v>5367.28</v>
      </c>
    </row>
    <row r="100" spans="1:2">
      <c r="B100" s="17">
        <f>SUM(B97:B99)</f>
        <v>2032850.04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opLeftCell="A28" workbookViewId="0">
      <selection activeCell="C44" sqref="C44"/>
    </sheetView>
  </sheetViews>
  <sheetFormatPr defaultRowHeight="15"/>
  <cols>
    <col min="1" max="1" width="16.5703125" style="2" customWidth="1"/>
    <col min="2" max="2" width="26.140625" style="1" customWidth="1"/>
    <col min="3" max="4" width="26.140625" customWidth="1"/>
    <col min="5" max="5" width="26.140625" style="1" customWidth="1"/>
    <col min="6" max="6" width="20.5703125" customWidth="1"/>
    <col min="7" max="7" width="29.7109375" customWidth="1"/>
    <col min="10" max="11" width="10.140625" bestFit="1" customWidth="1"/>
  </cols>
  <sheetData>
    <row r="1" spans="1:11">
      <c r="A1" t="s">
        <v>21</v>
      </c>
      <c r="B1" t="s">
        <v>22</v>
      </c>
      <c r="C1" t="s">
        <v>23</v>
      </c>
      <c r="E1"/>
      <c r="F1" t="s">
        <v>24</v>
      </c>
      <c r="G1" t="s">
        <v>25</v>
      </c>
      <c r="J1" t="s">
        <v>26</v>
      </c>
      <c r="K1" t="s">
        <v>27</v>
      </c>
    </row>
    <row r="2" spans="1:11">
      <c r="A2" s="2">
        <v>45870</v>
      </c>
      <c r="B2" s="1">
        <v>137811.1</v>
      </c>
      <c r="F2" s="2">
        <v>45839</v>
      </c>
      <c r="G2" s="1"/>
      <c r="J2" s="1">
        <v>247136.39</v>
      </c>
      <c r="K2" s="1">
        <v>295715.53000000003</v>
      </c>
    </row>
    <row r="3" spans="1:11">
      <c r="A3" s="2">
        <v>45873</v>
      </c>
      <c r="B3" s="1">
        <v>139781.35</v>
      </c>
    </row>
    <row r="4" spans="1:11">
      <c r="A4" s="2">
        <v>45874</v>
      </c>
      <c r="B4" s="1">
        <v>139940.07</v>
      </c>
    </row>
    <row r="5" spans="1:11">
      <c r="A5" s="2">
        <v>45875</v>
      </c>
      <c r="B5" s="1">
        <v>142622.43</v>
      </c>
    </row>
    <row r="6" spans="1:11">
      <c r="A6" s="2">
        <v>45876</v>
      </c>
      <c r="B6" s="1">
        <v>142626.82999999999</v>
      </c>
    </row>
    <row r="7" spans="1:11">
      <c r="A7" s="2">
        <v>45877</v>
      </c>
      <c r="B7" s="1">
        <v>143453.12</v>
      </c>
    </row>
    <row r="8" spans="1:11">
      <c r="A8" s="2">
        <v>45880</v>
      </c>
      <c r="B8" s="1">
        <v>144395.71</v>
      </c>
    </row>
    <row r="9" spans="1:11">
      <c r="A9" s="2">
        <v>45881</v>
      </c>
      <c r="B9" s="1">
        <v>146646.34</v>
      </c>
    </row>
    <row r="10" spans="1:11">
      <c r="A10" s="2">
        <v>45882</v>
      </c>
      <c r="B10" s="1">
        <v>162609.68</v>
      </c>
    </row>
    <row r="11" spans="1:11">
      <c r="A11" s="2">
        <v>45883</v>
      </c>
      <c r="B11" s="1">
        <v>165662.04999999999</v>
      </c>
    </row>
    <row r="12" spans="1:11">
      <c r="A12" s="2">
        <v>45884</v>
      </c>
      <c r="B12" s="1">
        <v>167014.25</v>
      </c>
      <c r="C12" s="4">
        <v>259</v>
      </c>
      <c r="D12" s="4" t="s">
        <v>28</v>
      </c>
      <c r="E12" s="3"/>
    </row>
    <row r="13" spans="1:11">
      <c r="A13" s="2">
        <v>45887</v>
      </c>
      <c r="B13" s="1">
        <v>224206.62</v>
      </c>
      <c r="C13" s="4">
        <v>127</v>
      </c>
      <c r="D13" s="4" t="s">
        <v>28</v>
      </c>
      <c r="E13" s="3"/>
    </row>
    <row r="14" spans="1:11">
      <c r="A14" s="2">
        <v>45888</v>
      </c>
      <c r="B14" s="1">
        <v>224969.45</v>
      </c>
      <c r="C14" s="4">
        <v>4</v>
      </c>
      <c r="D14" s="4" t="s">
        <v>28</v>
      </c>
    </row>
    <row r="15" spans="1:11">
      <c r="A15" s="2">
        <v>45889</v>
      </c>
      <c r="B15" s="1">
        <v>227784.65</v>
      </c>
      <c r="C15" s="4">
        <v>12</v>
      </c>
      <c r="D15" s="4" t="s">
        <v>28</v>
      </c>
    </row>
    <row r="16" spans="1:11">
      <c r="A16" s="2">
        <v>45890</v>
      </c>
      <c r="B16" s="1">
        <v>230393.57</v>
      </c>
      <c r="C16" s="4">
        <v>39</v>
      </c>
      <c r="D16" s="4" t="s">
        <v>28</v>
      </c>
    </row>
    <row r="17" spans="1:4">
      <c r="A17" s="2">
        <v>45891</v>
      </c>
      <c r="B17" s="1">
        <v>242772.97</v>
      </c>
      <c r="C17" s="4">
        <v>58</v>
      </c>
      <c r="D17" s="4" t="s">
        <v>28</v>
      </c>
    </row>
    <row r="18" spans="1:4">
      <c r="A18" s="2">
        <v>45894</v>
      </c>
      <c r="B18" s="1">
        <v>242951.69</v>
      </c>
      <c r="C18" s="4">
        <v>9</v>
      </c>
      <c r="D18" s="4" t="s">
        <v>28</v>
      </c>
    </row>
    <row r="19" spans="1:4">
      <c r="A19" s="2">
        <v>45895</v>
      </c>
      <c r="B19" s="1">
        <v>255345.88</v>
      </c>
      <c r="C19" s="4">
        <v>11</v>
      </c>
      <c r="D19" s="4" t="s">
        <v>28</v>
      </c>
    </row>
    <row r="20" spans="1:4">
      <c r="A20" s="2">
        <v>45896</v>
      </c>
      <c r="B20" s="1">
        <v>286996.58</v>
      </c>
      <c r="C20" s="4">
        <v>85</v>
      </c>
      <c r="D20" s="4" t="s">
        <v>28</v>
      </c>
    </row>
    <row r="21" spans="1:4">
      <c r="A21" s="2">
        <v>45897</v>
      </c>
      <c r="B21" s="1">
        <v>291647.33</v>
      </c>
      <c r="C21" s="4">
        <v>47</v>
      </c>
      <c r="D21" s="4" t="s">
        <v>28</v>
      </c>
    </row>
    <row r="22" spans="1:4">
      <c r="C22" s="4"/>
      <c r="D22" s="4"/>
    </row>
    <row r="23" spans="1:4">
      <c r="C23" s="4"/>
      <c r="D23" s="4"/>
    </row>
    <row r="24" spans="1:4">
      <c r="C24" s="4"/>
      <c r="D24" s="4"/>
    </row>
    <row r="25" spans="1:4">
      <c r="A25" s="2" t="s">
        <v>19</v>
      </c>
      <c r="C25" s="4"/>
      <c r="D25" s="4"/>
    </row>
    <row r="26" spans="1:4">
      <c r="A26" s="2">
        <v>45901</v>
      </c>
      <c r="B26" s="1">
        <v>299126.43</v>
      </c>
      <c r="C26" s="4">
        <v>53</v>
      </c>
      <c r="D26" s="4" t="s">
        <v>28</v>
      </c>
    </row>
    <row r="27" spans="1:4">
      <c r="A27" s="2">
        <v>45902</v>
      </c>
      <c r="B27" s="1">
        <v>283836.59999999998</v>
      </c>
      <c r="C27" s="4">
        <v>4</v>
      </c>
      <c r="D27" s="4" t="s">
        <v>28</v>
      </c>
    </row>
    <row r="28" spans="1:4">
      <c r="A28" s="2">
        <v>45903</v>
      </c>
      <c r="B28" s="1">
        <v>279596.77</v>
      </c>
      <c r="C28">
        <v>7</v>
      </c>
      <c r="D28" s="4" t="s">
        <v>28</v>
      </c>
    </row>
    <row r="29" spans="1:4">
      <c r="A29" s="2">
        <v>45904</v>
      </c>
      <c r="B29" s="1">
        <v>312472.11</v>
      </c>
      <c r="C29" s="4">
        <v>1055</v>
      </c>
      <c r="D29" s="4" t="s">
        <v>28</v>
      </c>
    </row>
    <row r="30" spans="1:4">
      <c r="A30" s="2">
        <v>45905</v>
      </c>
      <c r="B30" s="1">
        <v>304918.95</v>
      </c>
      <c r="C30" s="4">
        <v>0</v>
      </c>
      <c r="D30" s="4" t="s">
        <v>28</v>
      </c>
    </row>
    <row r="31" spans="1:4">
      <c r="A31" s="2">
        <v>45909</v>
      </c>
      <c r="B31" s="1">
        <v>325203.94</v>
      </c>
      <c r="C31" s="4">
        <v>158</v>
      </c>
      <c r="D31" s="4" t="s">
        <v>29</v>
      </c>
    </row>
    <row r="32" spans="1:4">
      <c r="A32" s="2">
        <v>45910</v>
      </c>
      <c r="B32" s="1">
        <v>315866.45</v>
      </c>
      <c r="C32" s="4">
        <v>16</v>
      </c>
      <c r="D32" s="4" t="s">
        <v>29</v>
      </c>
    </row>
    <row r="33" spans="1:4">
      <c r="A33" s="2">
        <v>45911</v>
      </c>
      <c r="B33" s="1">
        <v>295525.94</v>
      </c>
      <c r="C33" s="4">
        <v>20</v>
      </c>
      <c r="D33" s="4" t="s">
        <v>28</v>
      </c>
    </row>
    <row r="34" spans="1:4">
      <c r="A34" s="2">
        <v>45912</v>
      </c>
      <c r="B34" s="1">
        <v>282830.14</v>
      </c>
      <c r="C34" s="4">
        <v>22</v>
      </c>
      <c r="D34" s="4" t="s">
        <v>28</v>
      </c>
    </row>
    <row r="35" spans="1:4">
      <c r="A35" s="2">
        <v>45913</v>
      </c>
      <c r="B35" s="1">
        <v>279600.96999999997</v>
      </c>
      <c r="C35" s="4">
        <v>201</v>
      </c>
      <c r="D35" s="4" t="s">
        <v>28</v>
      </c>
    </row>
    <row r="36" spans="1:4">
      <c r="A36" s="2">
        <v>45914</v>
      </c>
      <c r="B36" s="1">
        <v>352964.13</v>
      </c>
      <c r="C36" s="4">
        <v>0</v>
      </c>
    </row>
    <row r="37" spans="1:4">
      <c r="A37" s="2">
        <v>45915</v>
      </c>
      <c r="B37" s="1">
        <v>273321.68</v>
      </c>
      <c r="C37" s="4">
        <v>11</v>
      </c>
      <c r="D37" s="4" t="s">
        <v>28</v>
      </c>
    </row>
    <row r="38" spans="1:4">
      <c r="A38" s="2">
        <v>45916</v>
      </c>
      <c r="B38" s="1">
        <v>294634.76</v>
      </c>
      <c r="C38" s="4">
        <v>201</v>
      </c>
      <c r="D38" s="4" t="s">
        <v>28</v>
      </c>
    </row>
    <row r="39" spans="1:4">
      <c r="A39" s="2">
        <v>45917</v>
      </c>
      <c r="B39" s="1">
        <v>272106.02</v>
      </c>
      <c r="C39" s="4">
        <v>9</v>
      </c>
      <c r="D39" s="4" t="s">
        <v>28</v>
      </c>
    </row>
    <row r="40" spans="1:4">
      <c r="A40" s="2">
        <v>45918</v>
      </c>
      <c r="B40" s="1">
        <v>393098.95</v>
      </c>
      <c r="C40" s="4">
        <v>310</v>
      </c>
      <c r="D40" s="4" t="s">
        <v>28</v>
      </c>
    </row>
    <row r="41" spans="1:4">
      <c r="A41" s="2">
        <v>45919</v>
      </c>
      <c r="B41" s="1">
        <v>529766.38</v>
      </c>
      <c r="C41" s="4"/>
      <c r="D41" s="4" t="s">
        <v>28</v>
      </c>
    </row>
    <row r="42" spans="1:4">
      <c r="A42" s="2">
        <v>45922</v>
      </c>
      <c r="B42" s="1">
        <v>512166.05</v>
      </c>
      <c r="C42" s="4"/>
    </row>
    <row r="43" spans="1:4">
      <c r="A43" s="2">
        <v>45923</v>
      </c>
      <c r="B43" s="1">
        <v>457567.66</v>
      </c>
    </row>
    <row r="44" spans="1:4">
      <c r="A44" s="2">
        <v>45924</v>
      </c>
      <c r="B44" s="1">
        <v>454464.89</v>
      </c>
    </row>
    <row r="45" spans="1:4">
      <c r="A45" s="2">
        <v>45925</v>
      </c>
      <c r="B45" s="1">
        <v>524342.19999999995</v>
      </c>
      <c r="C45">
        <v>201</v>
      </c>
      <c r="D4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ADBA-617B-480E-972E-C79057B152F4}">
  <dimension ref="A1:Q161"/>
  <sheetViews>
    <sheetView workbookViewId="0">
      <selection activeCell="D17" sqref="D17"/>
    </sheetView>
  </sheetViews>
  <sheetFormatPr defaultRowHeight="15"/>
  <cols>
    <col min="1" max="1" width="11.5703125" bestFit="1" customWidth="1"/>
    <col min="2" max="2" width="29.28515625" bestFit="1" customWidth="1"/>
    <col min="3" max="3" width="14.28515625" bestFit="1" customWidth="1"/>
    <col min="4" max="4" width="26" bestFit="1" customWidth="1"/>
    <col min="5" max="5" width="24.5703125" bestFit="1" customWidth="1"/>
    <col min="6" max="6" width="21.85546875" bestFit="1" customWidth="1"/>
    <col min="8" max="8" width="17.28515625" bestFit="1" customWidth="1"/>
  </cols>
  <sheetData>
    <row r="1" spans="2:3">
      <c r="B1" s="7" t="s">
        <v>0</v>
      </c>
      <c r="C1" s="6" t="s">
        <v>1</v>
      </c>
    </row>
    <row r="2" spans="2:3">
      <c r="B2" t="s">
        <v>2</v>
      </c>
      <c r="C2" s="9">
        <v>5.1299999999999998E-2</v>
      </c>
    </row>
    <row r="3" spans="2:3">
      <c r="B3" t="s">
        <v>3</v>
      </c>
      <c r="C3" s="9">
        <v>0.14080000000000001</v>
      </c>
    </row>
    <row r="4" spans="2:3">
      <c r="B4" t="s">
        <v>4</v>
      </c>
      <c r="C4" s="9">
        <v>2.6599999999999999E-2</v>
      </c>
    </row>
    <row r="5" spans="2:3">
      <c r="B5" t="s">
        <v>5</v>
      </c>
      <c r="C5" s="9">
        <v>0.1638</v>
      </c>
    </row>
    <row r="6" spans="2:3">
      <c r="B6" t="s">
        <v>6</v>
      </c>
      <c r="C6" s="9">
        <v>6.3500000000000001E-2</v>
      </c>
    </row>
    <row r="7" spans="2:3">
      <c r="B7" t="s">
        <v>30</v>
      </c>
      <c r="C7" s="9">
        <v>0.1981</v>
      </c>
    </row>
    <row r="8" spans="2:3">
      <c r="B8" t="s">
        <v>19</v>
      </c>
      <c r="C8" s="9">
        <v>0.4214</v>
      </c>
    </row>
    <row r="9" spans="2:3">
      <c r="B9" t="s">
        <v>20</v>
      </c>
      <c r="C9" s="9">
        <v>5.7500000000000002E-2</v>
      </c>
    </row>
    <row r="10" spans="2:3">
      <c r="C10" s="9"/>
    </row>
    <row r="11" spans="2:3">
      <c r="C11" s="9"/>
    </row>
    <row r="12" spans="2:3">
      <c r="B12" t="s">
        <v>7</v>
      </c>
      <c r="C12" s="9">
        <v>0.1404</v>
      </c>
    </row>
    <row r="18" spans="2:17">
      <c r="Q18" s="7"/>
    </row>
    <row r="19" spans="2:17">
      <c r="Q19" s="7"/>
    </row>
    <row r="20" spans="2:17">
      <c r="B20" s="7" t="s">
        <v>31</v>
      </c>
    </row>
    <row r="21" spans="2:17">
      <c r="B21" s="7" t="s">
        <v>9</v>
      </c>
      <c r="C21" s="7" t="s">
        <v>10</v>
      </c>
    </row>
    <row r="22" spans="2:17">
      <c r="B22" s="1">
        <v>299126.43</v>
      </c>
      <c r="C22" s="2">
        <v>45901</v>
      </c>
    </row>
    <row r="23" spans="2:17">
      <c r="B23" s="1">
        <v>283836.59999999998</v>
      </c>
      <c r="C23" s="2">
        <v>45902</v>
      </c>
    </row>
    <row r="24" spans="2:17">
      <c r="B24" s="1">
        <v>279596.77</v>
      </c>
      <c r="C24" s="2">
        <v>45903</v>
      </c>
    </row>
    <row r="25" spans="2:17">
      <c r="B25" s="1">
        <v>312472.11</v>
      </c>
      <c r="C25" s="2">
        <v>45904</v>
      </c>
    </row>
    <row r="26" spans="2:17">
      <c r="B26" s="1">
        <v>308493.63</v>
      </c>
      <c r="C26" s="2">
        <v>45905</v>
      </c>
    </row>
    <row r="27" spans="2:17">
      <c r="B27" s="1">
        <v>325203.94</v>
      </c>
      <c r="C27" s="2">
        <v>45909</v>
      </c>
    </row>
    <row r="28" spans="2:17">
      <c r="B28" s="1">
        <v>315331.19</v>
      </c>
      <c r="C28" s="2">
        <v>45910</v>
      </c>
    </row>
    <row r="29" spans="2:17">
      <c r="B29" s="1">
        <v>295525.94</v>
      </c>
      <c r="C29" s="2">
        <v>45911</v>
      </c>
    </row>
    <row r="30" spans="2:17">
      <c r="B30" s="1">
        <v>282830.14</v>
      </c>
      <c r="C30" s="2">
        <v>45912</v>
      </c>
    </row>
    <row r="31" spans="2:17">
      <c r="B31" s="1">
        <v>279600.96999999997</v>
      </c>
      <c r="C31" s="2">
        <v>45913</v>
      </c>
    </row>
    <row r="32" spans="2:17">
      <c r="B32" s="1">
        <v>352964.13</v>
      </c>
      <c r="C32" s="2">
        <v>45914</v>
      </c>
    </row>
    <row r="33" spans="2:4">
      <c r="B33" s="1">
        <v>273321.68</v>
      </c>
      <c r="C33" s="2">
        <v>45915</v>
      </c>
    </row>
    <row r="34" spans="2:4">
      <c r="B34" s="1">
        <v>294634.76</v>
      </c>
      <c r="C34" s="2">
        <v>45916</v>
      </c>
    </row>
    <row r="35" spans="2:4">
      <c r="B35" s="1">
        <v>272106.02</v>
      </c>
      <c r="C35" s="2">
        <v>45917</v>
      </c>
    </row>
    <row r="36" spans="2:4">
      <c r="B36" s="1">
        <v>393098.95</v>
      </c>
      <c r="C36" s="2">
        <v>45918</v>
      </c>
    </row>
    <row r="37" spans="2:4">
      <c r="B37" s="1">
        <v>529766.38</v>
      </c>
      <c r="C37" s="2">
        <v>45919</v>
      </c>
    </row>
    <row r="38" spans="2:4">
      <c r="B38" s="1">
        <v>512166.05</v>
      </c>
      <c r="C38" s="2">
        <v>45922</v>
      </c>
    </row>
    <row r="39" spans="2:4">
      <c r="B39" s="1">
        <v>457567.66</v>
      </c>
      <c r="C39" s="2">
        <v>45923</v>
      </c>
    </row>
    <row r="40" spans="2:4">
      <c r="B40" s="1">
        <v>454464.89</v>
      </c>
      <c r="C40" s="2">
        <v>45924</v>
      </c>
    </row>
    <row r="41" spans="2:4">
      <c r="B41" s="1">
        <v>526948.57999999996</v>
      </c>
      <c r="C41" s="2">
        <v>45925</v>
      </c>
    </row>
    <row r="42" spans="2:4">
      <c r="B42" s="1">
        <v>606110.48</v>
      </c>
      <c r="C42" s="2">
        <v>45926</v>
      </c>
    </row>
    <row r="43" spans="2:4">
      <c r="B43" s="1">
        <v>412357.73</v>
      </c>
      <c r="C43" s="2">
        <v>45929</v>
      </c>
    </row>
    <row r="44" spans="2:4">
      <c r="B44" s="1">
        <v>549956.52</v>
      </c>
      <c r="C44" s="2">
        <v>45930</v>
      </c>
    </row>
    <row r="45" spans="2:4">
      <c r="B45" s="1"/>
      <c r="C45" s="2"/>
    </row>
    <row r="46" spans="2:4">
      <c r="B46" s="1"/>
      <c r="C46" s="2"/>
    </row>
    <row r="47" spans="2:4">
      <c r="B47" s="1"/>
      <c r="C47" s="2"/>
    </row>
    <row r="48" spans="2:4">
      <c r="B48" s="1"/>
      <c r="C48" s="2"/>
      <c r="D48" s="1"/>
    </row>
    <row r="50" spans="1:8">
      <c r="B50" t="s">
        <v>11</v>
      </c>
      <c r="C50" t="s">
        <v>12</v>
      </c>
      <c r="D50" t="s">
        <v>1</v>
      </c>
    </row>
    <row r="51" spans="1:8">
      <c r="A51" s="18">
        <v>45717</v>
      </c>
      <c r="B51" s="5">
        <v>18093.11</v>
      </c>
      <c r="C51" s="5">
        <v>4586.37</v>
      </c>
      <c r="D51" s="10">
        <f t="shared" ref="D51:D58" si="0">C51/B51</f>
        <v>0.2534871008908916</v>
      </c>
    </row>
    <row r="52" spans="1:8">
      <c r="A52" s="18">
        <v>45748</v>
      </c>
      <c r="B52" s="5">
        <v>105241.38</v>
      </c>
      <c r="C52" s="5">
        <v>10365.75</v>
      </c>
      <c r="D52" s="10">
        <f t="shared" si="0"/>
        <v>9.8495002631094342E-2</v>
      </c>
    </row>
    <row r="53" spans="1:8">
      <c r="A53" s="18">
        <v>45778</v>
      </c>
      <c r="B53" s="5">
        <v>120323.99</v>
      </c>
      <c r="C53" s="5">
        <v>11901.11</v>
      </c>
      <c r="D53" s="10">
        <f t="shared" si="0"/>
        <v>9.8908870957487363E-2</v>
      </c>
    </row>
    <row r="54" spans="1:8">
      <c r="A54" s="18">
        <v>45809</v>
      </c>
      <c r="B54" s="5">
        <v>266451.06</v>
      </c>
      <c r="C54" s="5">
        <v>42343.77</v>
      </c>
      <c r="D54" s="10">
        <f t="shared" si="0"/>
        <v>0.15891762637386392</v>
      </c>
    </row>
    <row r="55" spans="1:8">
      <c r="A55" s="18">
        <v>45839</v>
      </c>
      <c r="B55" s="5">
        <v>495117.64</v>
      </c>
      <c r="C55" s="5">
        <v>53899.87</v>
      </c>
      <c r="D55" s="10">
        <f t="shared" si="0"/>
        <v>0.10886275431430802</v>
      </c>
      <c r="H55" s="5"/>
    </row>
    <row r="56" spans="1:8">
      <c r="A56" s="18">
        <v>45870</v>
      </c>
      <c r="B56" s="5">
        <v>423724.07</v>
      </c>
      <c r="C56" s="5">
        <v>86408.02</v>
      </c>
      <c r="D56" s="10">
        <f t="shared" si="0"/>
        <v>0.20392521010194206</v>
      </c>
    </row>
    <row r="57" spans="1:8">
      <c r="A57" s="18">
        <v>45901</v>
      </c>
      <c r="B57" s="5">
        <v>1067989.54</v>
      </c>
      <c r="C57" s="5">
        <v>443855.79</v>
      </c>
      <c r="D57" s="10">
        <f t="shared" si="0"/>
        <v>0.41559937937219871</v>
      </c>
      <c r="H57" s="5"/>
    </row>
    <row r="58" spans="1:8">
      <c r="A58" s="18">
        <v>45931</v>
      </c>
      <c r="B58" s="5">
        <v>1408631.55</v>
      </c>
      <c r="C58" s="5">
        <v>58511.02</v>
      </c>
      <c r="D58" s="10">
        <f t="shared" si="0"/>
        <v>4.1537490765416969E-2</v>
      </c>
      <c r="H58" s="10"/>
    </row>
    <row r="59" spans="1:8">
      <c r="A59" s="18"/>
      <c r="B59" s="5"/>
      <c r="C59" s="5"/>
      <c r="D59" s="10"/>
    </row>
    <row r="60" spans="1:8">
      <c r="B60" s="5">
        <f>SUM(B51:B59)</f>
        <v>3905572.34</v>
      </c>
      <c r="C60" s="5">
        <f>SUM(C51:C59)</f>
        <v>711871.7</v>
      </c>
      <c r="D60" s="10">
        <f t="shared" ref="D60" si="1">C60/B60</f>
        <v>0.18227077570914996</v>
      </c>
    </row>
    <row r="66" spans="2:7">
      <c r="B66" s="9" t="s">
        <v>32</v>
      </c>
      <c r="C66" t="s">
        <v>33</v>
      </c>
    </row>
    <row r="67" spans="2:7">
      <c r="B67">
        <v>7676</v>
      </c>
      <c r="C67">
        <v>868</v>
      </c>
    </row>
    <row r="68" spans="2:7">
      <c r="B68">
        <v>8364</v>
      </c>
      <c r="C68">
        <v>1673</v>
      </c>
    </row>
    <row r="69" spans="2:7">
      <c r="B69">
        <v>8376</v>
      </c>
      <c r="C69">
        <v>1643</v>
      </c>
    </row>
    <row r="70" spans="2:7">
      <c r="B70">
        <v>12726</v>
      </c>
      <c r="C70">
        <v>2131</v>
      </c>
    </row>
    <row r="72" spans="2:7">
      <c r="D72" s="11" t="s">
        <v>16</v>
      </c>
      <c r="E72" t="s">
        <v>17</v>
      </c>
    </row>
    <row r="73" spans="2:7">
      <c r="D73" s="13">
        <v>3905572.34</v>
      </c>
      <c r="E73" s="12">
        <v>711871.7</v>
      </c>
      <c r="G73" s="10"/>
    </row>
    <row r="74" spans="2:7">
      <c r="B74" s="11"/>
      <c r="C74" s="11"/>
      <c r="D74" s="13"/>
      <c r="E74" s="16">
        <f>E73/D73</f>
        <v>0.18227077570914996</v>
      </c>
    </row>
    <row r="75" spans="2:7">
      <c r="E75" s="11"/>
    </row>
    <row r="76" spans="2:7">
      <c r="D76" s="12"/>
      <c r="E76" s="13"/>
    </row>
    <row r="77" spans="2:7">
      <c r="B77" t="s">
        <v>34</v>
      </c>
      <c r="D77" s="12"/>
      <c r="E77" s="15"/>
    </row>
    <row r="80" spans="2:7">
      <c r="C80" s="5"/>
    </row>
    <row r="82" spans="1:6">
      <c r="A82" s="2">
        <v>45901</v>
      </c>
      <c r="B82" s="12">
        <v>1717244</v>
      </c>
      <c r="C82" s="10">
        <f>B83/B82</f>
        <v>0.12518477863367117</v>
      </c>
    </row>
    <row r="83" spans="1:6">
      <c r="B83" s="13">
        <v>214972.81</v>
      </c>
    </row>
    <row r="84" spans="1:6">
      <c r="B84" s="13"/>
    </row>
    <row r="85" spans="1:6">
      <c r="A85" s="2">
        <v>45898</v>
      </c>
      <c r="B85" s="12">
        <v>1408906.69</v>
      </c>
      <c r="C85" s="10">
        <f>B86/B85</f>
        <v>0.21433414444217028</v>
      </c>
      <c r="D85" s="5">
        <f>B86-B83</f>
        <v>87004</v>
      </c>
    </row>
    <row r="86" spans="1:6">
      <c r="B86" s="13">
        <v>301976.81</v>
      </c>
    </row>
    <row r="87" spans="1:6">
      <c r="B87" s="13"/>
    </row>
    <row r="88" spans="1:6">
      <c r="A88" s="2">
        <v>45901</v>
      </c>
      <c r="B88" s="12">
        <v>1717244</v>
      </c>
      <c r="C88" s="10">
        <f>B89/B88</f>
        <v>0.17418980645732349</v>
      </c>
      <c r="D88" s="5">
        <f>B89-B86</f>
        <v>-2850.4099999999744</v>
      </c>
    </row>
    <row r="89" spans="1:6" ht="15.6" customHeight="1">
      <c r="A89" s="2"/>
      <c r="B89" s="13">
        <v>299126.40000000002</v>
      </c>
    </row>
    <row r="90" spans="1:6" ht="15.6" customHeight="1">
      <c r="A90" s="2"/>
      <c r="B90" s="13"/>
    </row>
    <row r="91" spans="1:6">
      <c r="A91" s="2">
        <v>45902</v>
      </c>
      <c r="B91" s="12">
        <v>1935365.71</v>
      </c>
      <c r="C91" s="10">
        <f>B92/B91</f>
        <v>0.14446715086214895</v>
      </c>
      <c r="D91" s="5">
        <f>B92-B89</f>
        <v>-19529.630000000005</v>
      </c>
      <c r="F91" s="19"/>
    </row>
    <row r="92" spans="1:6">
      <c r="B92" s="12">
        <v>279596.77</v>
      </c>
    </row>
    <row r="93" spans="1:6">
      <c r="B93" s="12"/>
    </row>
    <row r="94" spans="1:6">
      <c r="A94" s="2">
        <v>45903</v>
      </c>
      <c r="B94" s="12">
        <v>2030575.83</v>
      </c>
      <c r="C94" s="10">
        <f>B95/B94</f>
        <v>0.15388349717528155</v>
      </c>
      <c r="D94" s="5">
        <f>B95-B92</f>
        <v>32875.339999999967</v>
      </c>
    </row>
    <row r="95" spans="1:6">
      <c r="B95" s="12">
        <v>312472.11</v>
      </c>
    </row>
    <row r="96" spans="1:6">
      <c r="B96" s="12"/>
    </row>
    <row r="97" spans="1:4">
      <c r="A97" s="2">
        <v>45904</v>
      </c>
      <c r="B97" s="12">
        <v>2052974.69</v>
      </c>
      <c r="C97" s="10">
        <f>B98/B97</f>
        <v>0.14852543067640062</v>
      </c>
      <c r="D97" s="5">
        <f>B98-B95</f>
        <v>-7553.1599999999744</v>
      </c>
    </row>
    <row r="98" spans="1:4" ht="15.6" customHeight="1">
      <c r="B98" s="12">
        <v>304918.95</v>
      </c>
    </row>
    <row r="99" spans="1:4" ht="15.6" customHeight="1">
      <c r="B99" s="12"/>
    </row>
    <row r="100" spans="1:4">
      <c r="A100" s="2">
        <v>45909</v>
      </c>
      <c r="B100" s="12">
        <v>2113463.7999999998</v>
      </c>
      <c r="C100" s="10">
        <f>B101/B100</f>
        <v>0.15387249121560542</v>
      </c>
      <c r="D100" s="5">
        <f>B101-B98</f>
        <v>20284.989999999991</v>
      </c>
    </row>
    <row r="101" spans="1:4">
      <c r="B101" s="12">
        <v>325203.94</v>
      </c>
    </row>
    <row r="102" spans="1:4">
      <c r="B102" s="12"/>
    </row>
    <row r="103" spans="1:4">
      <c r="A103" s="2">
        <v>45910</v>
      </c>
      <c r="B103" s="12">
        <v>2113872.2400000002</v>
      </c>
      <c r="C103" s="10">
        <f>B104/B103</f>
        <v>0.14917230286348809</v>
      </c>
      <c r="D103" s="5">
        <f>B104-B101</f>
        <v>-9872.75</v>
      </c>
    </row>
    <row r="104" spans="1:4">
      <c r="B104" s="12">
        <v>315331.19</v>
      </c>
    </row>
    <row r="105" spans="1:4">
      <c r="B105" s="12"/>
    </row>
    <row r="106" spans="1:4">
      <c r="A106" s="2">
        <v>45911</v>
      </c>
      <c r="B106" s="12">
        <v>2164770.2000000002</v>
      </c>
      <c r="C106" s="10">
        <f>B107/B106</f>
        <v>0.13651607916627823</v>
      </c>
      <c r="D106" s="5">
        <f>B110-B107</f>
        <v>-12695.799999999988</v>
      </c>
    </row>
    <row r="107" spans="1:4">
      <c r="B107" s="12">
        <v>295525.94</v>
      </c>
    </row>
    <row r="108" spans="1:4">
      <c r="B108" s="12"/>
    </row>
    <row r="109" spans="1:4">
      <c r="A109" s="2">
        <v>45912</v>
      </c>
      <c r="B109" s="12">
        <v>2168019.7000000002</v>
      </c>
      <c r="C109" s="10">
        <f>B110/B109</f>
        <v>0.13045552122981169</v>
      </c>
      <c r="D109" s="5">
        <f>B110-B107</f>
        <v>-12695.799999999988</v>
      </c>
    </row>
    <row r="110" spans="1:4">
      <c r="B110" s="12">
        <v>282830.14</v>
      </c>
    </row>
    <row r="111" spans="1:4">
      <c r="B111" s="12"/>
    </row>
    <row r="112" spans="1:4">
      <c r="A112" s="2">
        <v>45913</v>
      </c>
      <c r="B112" s="12">
        <v>2210083.85</v>
      </c>
      <c r="C112" s="10">
        <f>B113/B112</f>
        <v>0.12651147602386215</v>
      </c>
      <c r="D112" s="5">
        <f>B113-B110</f>
        <v>-3229.1700000000419</v>
      </c>
    </row>
    <row r="113" spans="1:5">
      <c r="B113" s="12">
        <v>279600.96999999997</v>
      </c>
    </row>
    <row r="114" spans="1:5">
      <c r="B114" s="12"/>
    </row>
    <row r="115" spans="1:5">
      <c r="A115" s="2">
        <v>45914</v>
      </c>
      <c r="B115" s="12">
        <v>2222084.85</v>
      </c>
      <c r="C115" s="10">
        <f>B116/B115</f>
        <v>0.15884367781905356</v>
      </c>
      <c r="D115" s="5">
        <f>B116-B113</f>
        <v>73363.160000000033</v>
      </c>
      <c r="E115" s="5"/>
    </row>
    <row r="116" spans="1:5">
      <c r="B116" s="12">
        <v>352964.13</v>
      </c>
    </row>
    <row r="117" spans="1:5">
      <c r="B117" s="12"/>
    </row>
    <row r="118" spans="1:5">
      <c r="A118" s="2">
        <v>45915</v>
      </c>
      <c r="B118" s="12">
        <v>2222084.85</v>
      </c>
      <c r="C118" s="10">
        <f>B119/B118</f>
        <v>0.12300235969837064</v>
      </c>
      <c r="D118" s="5">
        <f>B119-B116</f>
        <v>-79642.450000000012</v>
      </c>
    </row>
    <row r="119" spans="1:5">
      <c r="B119" s="12">
        <v>273321.68</v>
      </c>
    </row>
    <row r="120" spans="1:5">
      <c r="B120" s="12"/>
    </row>
    <row r="121" spans="1:5">
      <c r="A121" s="2">
        <v>45916</v>
      </c>
      <c r="B121" s="12">
        <v>2265985.59</v>
      </c>
      <c r="C121" s="10">
        <f>B122/B121</f>
        <v>0.13002499278912008</v>
      </c>
      <c r="D121" s="5">
        <f>B122-B119</f>
        <v>21313.080000000016</v>
      </c>
    </row>
    <row r="122" spans="1:5">
      <c r="B122" s="12">
        <v>294634.76</v>
      </c>
    </row>
    <row r="123" spans="1:5">
      <c r="B123" s="12"/>
    </row>
    <row r="124" spans="1:5">
      <c r="A124" s="2">
        <v>45917</v>
      </c>
      <c r="B124" s="12">
        <v>2347723.14</v>
      </c>
      <c r="C124" s="10">
        <f>B125/B124</f>
        <v>0.11590209056762971</v>
      </c>
      <c r="D124" s="5">
        <f>B125-B122</f>
        <v>-22528.739999999991</v>
      </c>
    </row>
    <row r="125" spans="1:5">
      <c r="B125" s="12">
        <v>272106.02</v>
      </c>
    </row>
    <row r="126" spans="1:5">
      <c r="B126" s="12"/>
    </row>
    <row r="127" spans="1:5">
      <c r="A127" s="2">
        <v>45918</v>
      </c>
      <c r="B127" s="12">
        <v>2396185.9300000002</v>
      </c>
      <c r="C127" s="10">
        <f>B128/B127</f>
        <v>0.16394261608906116</v>
      </c>
      <c r="D127" s="5">
        <f>B128-B125</f>
        <v>120730.96999999997</v>
      </c>
    </row>
    <row r="128" spans="1:5">
      <c r="B128" s="12">
        <v>392836.99</v>
      </c>
    </row>
    <row r="129" spans="1:4">
      <c r="B129" s="12"/>
    </row>
    <row r="130" spans="1:4">
      <c r="A130" s="2">
        <v>45919</v>
      </c>
      <c r="B130" s="12">
        <v>2500720.59</v>
      </c>
      <c r="C130" s="10">
        <f>B131/B130</f>
        <v>0.21184549050319934</v>
      </c>
      <c r="D130" s="5">
        <f>B131-B128</f>
        <v>136929.39000000001</v>
      </c>
    </row>
    <row r="131" spans="1:4">
      <c r="B131" s="12">
        <v>529766.38</v>
      </c>
    </row>
    <row r="132" spans="1:4">
      <c r="B132" s="12"/>
    </row>
    <row r="133" spans="1:4">
      <c r="A133" s="2">
        <v>45922</v>
      </c>
      <c r="B133" s="12">
        <v>2527005.81</v>
      </c>
      <c r="C133" s="10">
        <f>B134/B133</f>
        <v>0.20267703697919079</v>
      </c>
      <c r="D133" s="5">
        <f>B134-B131</f>
        <v>-17600.330000000016</v>
      </c>
    </row>
    <row r="134" spans="1:4">
      <c r="B134" s="12">
        <v>512166.05</v>
      </c>
    </row>
    <row r="135" spans="1:4">
      <c r="B135" s="12"/>
    </row>
    <row r="136" spans="1:4">
      <c r="A136" s="2">
        <v>45923</v>
      </c>
      <c r="B136" s="12">
        <v>2482903.88</v>
      </c>
      <c r="C136" s="10">
        <f>B137/B136</f>
        <v>0.18428730313958025</v>
      </c>
      <c r="D136" s="5">
        <f>B137-B134</f>
        <v>-54598.390000000014</v>
      </c>
    </row>
    <row r="137" spans="1:4">
      <c r="B137" s="12">
        <v>457567.66</v>
      </c>
    </row>
    <row r="138" spans="1:4">
      <c r="B138" s="12"/>
    </row>
    <row r="139" spans="1:4">
      <c r="A139" s="2">
        <v>45924</v>
      </c>
      <c r="B139" s="12">
        <v>2486177.02</v>
      </c>
      <c r="C139" s="10">
        <f>B140/B139</f>
        <v>0.18279667390699317</v>
      </c>
      <c r="D139" s="5">
        <f>B140-B137</f>
        <v>-3102.7699999999604</v>
      </c>
    </row>
    <row r="140" spans="1:4">
      <c r="B140" s="12">
        <v>454464.89</v>
      </c>
    </row>
    <row r="141" spans="1:4">
      <c r="B141" s="12"/>
    </row>
    <row r="142" spans="1:4">
      <c r="A142" s="2">
        <v>45925</v>
      </c>
      <c r="B142" s="12">
        <v>2487784.0299999998</v>
      </c>
      <c r="C142" s="10">
        <f>B143/B142</f>
        <v>0.21181443953557336</v>
      </c>
      <c r="D142" s="5">
        <f>B143-B140</f>
        <v>72483.689999999944</v>
      </c>
    </row>
    <row r="143" spans="1:4">
      <c r="B143" s="12">
        <v>526948.57999999996</v>
      </c>
    </row>
    <row r="144" spans="1:4">
      <c r="B144" s="12"/>
    </row>
    <row r="145" spans="1:4">
      <c r="A145" s="2">
        <v>45926</v>
      </c>
      <c r="B145" s="12">
        <v>2495107.09</v>
      </c>
      <c r="C145" s="10">
        <f>B146/B145</f>
        <v>0.24291962554601215</v>
      </c>
      <c r="D145" s="5">
        <f>B146-B143</f>
        <v>79161.900000000023</v>
      </c>
    </row>
    <row r="146" spans="1:4">
      <c r="B146" s="12">
        <v>606110.48</v>
      </c>
    </row>
    <row r="147" spans="1:4">
      <c r="B147" s="12"/>
    </row>
    <row r="148" spans="1:4">
      <c r="A148" s="2">
        <v>45929</v>
      </c>
      <c r="B148" s="12">
        <v>2495107.3199999998</v>
      </c>
      <c r="C148" s="10">
        <f>B149/B148</f>
        <v>0.16526653049937748</v>
      </c>
      <c r="D148" s="5">
        <f>B149-B146</f>
        <v>-193752.75</v>
      </c>
    </row>
    <row r="149" spans="1:4">
      <c r="B149" s="12">
        <v>412357.73</v>
      </c>
    </row>
    <row r="150" spans="1:4">
      <c r="B150" s="12"/>
    </row>
    <row r="151" spans="1:4">
      <c r="A151" t="s">
        <v>35</v>
      </c>
      <c r="B151" s="12">
        <v>2495985.9900000002</v>
      </c>
      <c r="C151" s="10">
        <f>B152/B151</f>
        <v>0.2203363809746384</v>
      </c>
      <c r="D151" s="5">
        <f>B152-B149</f>
        <v>137598.79000000004</v>
      </c>
    </row>
    <row r="152" spans="1:4">
      <c r="B152" s="12">
        <v>549956.52</v>
      </c>
    </row>
    <row r="153" spans="1:4">
      <c r="B153" s="12"/>
    </row>
    <row r="154" spans="1:4">
      <c r="B154" s="12"/>
    </row>
    <row r="155" spans="1:4">
      <c r="B155" s="12"/>
    </row>
    <row r="156" spans="1:4">
      <c r="B156" s="12"/>
    </row>
    <row r="158" spans="1:4">
      <c r="B158" s="17">
        <v>2113872.2400000002</v>
      </c>
    </row>
    <row r="159" spans="1:4">
      <c r="A159" t="s">
        <v>20</v>
      </c>
      <c r="B159" s="17">
        <v>154075.09</v>
      </c>
    </row>
    <row r="160" spans="1:4">
      <c r="A160" t="s">
        <v>36</v>
      </c>
      <c r="B160" s="17">
        <v>5367.28</v>
      </c>
      <c r="C160" s="10">
        <f>B104/B161</f>
        <v>0.13870987702841536</v>
      </c>
    </row>
    <row r="161" spans="2:2">
      <c r="B161" s="17">
        <f>SUM(B158:B160)</f>
        <v>2273314.61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7ACE-3136-4F58-830E-5B7B3BC3B1C1}">
  <dimension ref="A1:I288"/>
  <sheetViews>
    <sheetView topLeftCell="A162" workbookViewId="0">
      <selection activeCell="A171" sqref="A171:B172"/>
    </sheetView>
  </sheetViews>
  <sheetFormatPr defaultRowHeight="15"/>
  <cols>
    <col min="1" max="1" width="28.28515625" bestFit="1" customWidth="1"/>
    <col min="2" max="4" width="17.85546875" bestFit="1" customWidth="1"/>
    <col min="5" max="5" width="14.42578125" customWidth="1"/>
    <col min="7" max="7" width="14.28515625" bestFit="1" customWidth="1"/>
    <col min="9" max="9" width="14.28515625" bestFit="1" customWidth="1"/>
  </cols>
  <sheetData>
    <row r="1" spans="1:2">
      <c r="A1" s="7" t="s">
        <v>0</v>
      </c>
      <c r="B1" s="6" t="s">
        <v>1</v>
      </c>
    </row>
    <row r="2" spans="1:2">
      <c r="A2" t="s">
        <v>2</v>
      </c>
      <c r="B2" s="9">
        <v>9.7999999999999997E-3</v>
      </c>
    </row>
    <row r="3" spans="1:2">
      <c r="A3" t="s">
        <v>3</v>
      </c>
      <c r="B3" s="9">
        <v>0.14080000000000001</v>
      </c>
    </row>
    <row r="4" spans="1:2">
      <c r="A4" t="s">
        <v>4</v>
      </c>
      <c r="B4" s="9">
        <v>2.47E-2</v>
      </c>
    </row>
    <row r="5" spans="1:2">
      <c r="A5" t="s">
        <v>5</v>
      </c>
      <c r="B5" s="9">
        <v>0.14219999999999999</v>
      </c>
    </row>
    <row r="6" spans="1:2">
      <c r="A6" t="s">
        <v>6</v>
      </c>
      <c r="B6" s="9">
        <v>5.8400000000000001E-2</v>
      </c>
    </row>
    <row r="7" spans="1:2">
      <c r="A7" t="s">
        <v>30</v>
      </c>
      <c r="B7" s="9">
        <v>0.1275</v>
      </c>
    </row>
    <row r="8" spans="1:2">
      <c r="A8" t="s">
        <v>19</v>
      </c>
      <c r="B8" s="9">
        <v>0.19550000000000001</v>
      </c>
    </row>
    <row r="9" spans="1:2">
      <c r="A9" t="s">
        <v>20</v>
      </c>
      <c r="B9" s="9">
        <v>0.33050000000000002</v>
      </c>
    </row>
    <row r="10" spans="1:2">
      <c r="A10" t="s">
        <v>36</v>
      </c>
      <c r="B10" s="9">
        <v>1.1999999999999999E-3</v>
      </c>
    </row>
    <row r="11" spans="1:2">
      <c r="B11" s="9"/>
    </row>
    <row r="12" spans="1:2">
      <c r="A12" t="s">
        <v>7</v>
      </c>
      <c r="B12" s="9">
        <v>0.1145</v>
      </c>
    </row>
    <row r="20" spans="1:2">
      <c r="A20" s="7" t="s">
        <v>37</v>
      </c>
    </row>
    <row r="21" spans="1:2">
      <c r="A21" s="7" t="s">
        <v>9</v>
      </c>
      <c r="B21" s="7" t="s">
        <v>10</v>
      </c>
    </row>
    <row r="22" spans="1:2">
      <c r="A22" s="1">
        <v>750862.43</v>
      </c>
      <c r="B22" s="2">
        <v>45931</v>
      </c>
    </row>
    <row r="23" spans="1:2">
      <c r="A23" s="1">
        <v>718219.98</v>
      </c>
      <c r="B23" s="2">
        <v>45932</v>
      </c>
    </row>
    <row r="24" spans="1:2">
      <c r="A24" s="1">
        <v>711700.12</v>
      </c>
      <c r="B24" s="2">
        <v>45933</v>
      </c>
    </row>
    <row r="25" spans="1:2">
      <c r="A25" s="1">
        <v>693040.47</v>
      </c>
      <c r="B25" s="2">
        <v>45936</v>
      </c>
    </row>
    <row r="26" spans="1:2">
      <c r="A26" s="1">
        <v>719302.11</v>
      </c>
      <c r="B26" s="2">
        <v>45937</v>
      </c>
    </row>
    <row r="27" spans="1:2">
      <c r="A27" s="1">
        <v>723433.54</v>
      </c>
      <c r="B27" s="2">
        <v>45938</v>
      </c>
    </row>
    <row r="28" spans="1:2">
      <c r="A28" s="1">
        <v>725433.54</v>
      </c>
      <c r="B28" s="2">
        <v>45939</v>
      </c>
    </row>
    <row r="29" spans="1:2">
      <c r="A29" s="1">
        <v>722846.57</v>
      </c>
      <c r="B29" s="2">
        <v>45940</v>
      </c>
    </row>
    <row r="30" spans="1:2">
      <c r="A30" s="1">
        <v>676085.85</v>
      </c>
      <c r="B30" s="2">
        <v>45943</v>
      </c>
    </row>
    <row r="31" spans="1:2">
      <c r="A31" s="1">
        <v>743003.89</v>
      </c>
      <c r="B31" s="2">
        <v>45944</v>
      </c>
    </row>
    <row r="32" spans="1:2">
      <c r="A32" s="1">
        <v>800345.02</v>
      </c>
      <c r="B32" s="2">
        <v>45945</v>
      </c>
    </row>
    <row r="33" spans="1:9">
      <c r="A33" s="1">
        <v>855485.77</v>
      </c>
      <c r="B33" s="2">
        <v>45946</v>
      </c>
    </row>
    <row r="34" spans="1:9">
      <c r="A34" s="1">
        <v>820161.2</v>
      </c>
      <c r="B34" s="2">
        <v>45947</v>
      </c>
    </row>
    <row r="35" spans="1:9">
      <c r="A35" s="1">
        <v>786157.26</v>
      </c>
      <c r="B35" s="2">
        <v>45950</v>
      </c>
    </row>
    <row r="36" spans="1:9">
      <c r="A36" s="1">
        <v>872672.97</v>
      </c>
      <c r="B36" s="2">
        <v>45951</v>
      </c>
    </row>
    <row r="37" spans="1:9">
      <c r="A37" s="1">
        <v>881382.18</v>
      </c>
      <c r="B37" s="2">
        <v>45952</v>
      </c>
    </row>
    <row r="38" spans="1:9">
      <c r="A38" s="1">
        <v>880401.42</v>
      </c>
      <c r="B38" s="2">
        <v>45953</v>
      </c>
    </row>
    <row r="39" spans="1:9">
      <c r="A39" s="1">
        <v>888196.6</v>
      </c>
      <c r="B39" s="2">
        <v>45954</v>
      </c>
    </row>
    <row r="40" spans="1:9">
      <c r="A40" s="1">
        <v>1007218.98</v>
      </c>
      <c r="B40" s="2">
        <v>45957</v>
      </c>
      <c r="C40" s="22"/>
      <c r="I40" s="5"/>
    </row>
    <row r="41" spans="1:9">
      <c r="A41" s="1">
        <v>1190000.55</v>
      </c>
      <c r="B41" s="2">
        <v>45958</v>
      </c>
      <c r="C41" s="22"/>
    </row>
    <row r="42" spans="1:9">
      <c r="A42" s="1">
        <v>1108109.1100000001</v>
      </c>
      <c r="B42" s="2">
        <v>45959</v>
      </c>
      <c r="C42" s="22"/>
    </row>
    <row r="43" spans="1:9">
      <c r="A43" s="1">
        <v>1113319.07</v>
      </c>
      <c r="B43" s="2">
        <v>45960</v>
      </c>
      <c r="C43" s="22"/>
    </row>
    <row r="44" spans="1:9">
      <c r="A44" s="1">
        <v>1132301.24</v>
      </c>
      <c r="B44" s="2">
        <v>45961</v>
      </c>
      <c r="C44" s="22"/>
    </row>
    <row r="45" spans="1:9">
      <c r="A45" s="1"/>
      <c r="B45" s="2"/>
      <c r="C45" s="22"/>
      <c r="I45" s="5"/>
    </row>
    <row r="46" spans="1:9">
      <c r="A46" s="1"/>
      <c r="B46" s="2"/>
    </row>
    <row r="47" spans="1:9">
      <c r="A47" s="1"/>
      <c r="B47" s="2"/>
      <c r="C47" s="1"/>
    </row>
    <row r="49" spans="1:3">
      <c r="A49" t="s">
        <v>11</v>
      </c>
      <c r="B49" t="s">
        <v>12</v>
      </c>
      <c r="C49" t="s">
        <v>1</v>
      </c>
    </row>
    <row r="50" spans="1:3">
      <c r="A50" s="5">
        <v>18093.11</v>
      </c>
      <c r="B50" s="5">
        <v>178.12</v>
      </c>
      <c r="C50" s="10">
        <f t="shared" ref="C50:C57" si="0">B50/A50</f>
        <v>9.8446314646846236E-3</v>
      </c>
    </row>
    <row r="51" spans="1:3">
      <c r="A51" s="5">
        <v>105246.91</v>
      </c>
      <c r="B51" s="5">
        <v>10365.75</v>
      </c>
      <c r="C51" s="10">
        <f>B51/A51</f>
        <v>9.8489827397307911E-2</v>
      </c>
    </row>
    <row r="52" spans="1:3">
      <c r="A52" s="5">
        <v>120323.99</v>
      </c>
      <c r="B52" s="5">
        <v>7128.95</v>
      </c>
      <c r="C52" s="10">
        <f t="shared" si="0"/>
        <v>5.9247952133236269E-2</v>
      </c>
    </row>
    <row r="53" spans="1:3">
      <c r="A53" s="5">
        <v>266451.06</v>
      </c>
      <c r="B53" s="5">
        <v>27173.81</v>
      </c>
      <c r="C53" s="10">
        <f t="shared" si="0"/>
        <v>0.10198424431113166</v>
      </c>
    </row>
    <row r="54" spans="1:3">
      <c r="A54" s="5">
        <v>495122.64</v>
      </c>
      <c r="B54" s="5">
        <v>41664.11</v>
      </c>
      <c r="C54" s="10">
        <f t="shared" si="0"/>
        <v>8.4149070622179592E-2</v>
      </c>
    </row>
    <row r="55" spans="1:3">
      <c r="A55" s="5">
        <v>428732.04</v>
      </c>
      <c r="B55" s="5">
        <v>68317.58</v>
      </c>
      <c r="C55" s="10">
        <f t="shared" si="0"/>
        <v>0.15934796942164622</v>
      </c>
    </row>
    <row r="56" spans="1:3">
      <c r="A56" s="5">
        <v>1108949.69</v>
      </c>
      <c r="B56" s="5">
        <v>210511.22</v>
      </c>
      <c r="C56" s="10">
        <f t="shared" si="0"/>
        <v>0.18982936908526482</v>
      </c>
    </row>
    <row r="57" spans="1:3">
      <c r="A57" s="5">
        <v>2156340.5299999998</v>
      </c>
      <c r="B57" s="5">
        <v>766961.7</v>
      </c>
      <c r="C57" s="10">
        <f t="shared" si="0"/>
        <v>0.35567744951675145</v>
      </c>
    </row>
    <row r="58" spans="1:3">
      <c r="A58" s="5"/>
      <c r="B58" s="5"/>
      <c r="C58" s="10"/>
    </row>
    <row r="59" spans="1:3">
      <c r="A59" s="5">
        <f>SUM(A50:A58)</f>
        <v>4699259.97</v>
      </c>
      <c r="B59" s="5">
        <f>SUM(B50:B58)</f>
        <v>1132301.24</v>
      </c>
      <c r="C59" s="10">
        <f>B59/A59</f>
        <v>0.24095309628081718</v>
      </c>
    </row>
    <row r="65" spans="1:3">
      <c r="A65" s="9" t="s">
        <v>32</v>
      </c>
      <c r="B65" t="s">
        <v>33</v>
      </c>
    </row>
    <row r="66" spans="1:3">
      <c r="A66">
        <v>7676</v>
      </c>
      <c r="B66">
        <v>868</v>
      </c>
    </row>
    <row r="67" spans="1:3">
      <c r="A67">
        <v>8364</v>
      </c>
      <c r="B67">
        <v>1673</v>
      </c>
    </row>
    <row r="68" spans="1:3">
      <c r="A68">
        <v>8376</v>
      </c>
      <c r="B68">
        <v>1643</v>
      </c>
    </row>
    <row r="69" spans="1:3">
      <c r="A69">
        <v>12726</v>
      </c>
      <c r="B69">
        <v>2131</v>
      </c>
    </row>
    <row r="70" spans="1:3">
      <c r="A70">
        <v>12856</v>
      </c>
      <c r="B70">
        <v>2136</v>
      </c>
    </row>
    <row r="71" spans="1:3">
      <c r="A71">
        <v>14097</v>
      </c>
      <c r="B71">
        <v>2186</v>
      </c>
    </row>
    <row r="72" spans="1:3">
      <c r="A72">
        <v>14138</v>
      </c>
      <c r="B72">
        <v>2805</v>
      </c>
    </row>
    <row r="73" spans="1:3">
      <c r="A73">
        <v>14345</v>
      </c>
      <c r="B73">
        <v>2445</v>
      </c>
    </row>
    <row r="74" spans="1:3">
      <c r="A74">
        <v>14517</v>
      </c>
      <c r="B74">
        <v>2509</v>
      </c>
    </row>
    <row r="75" spans="1:3">
      <c r="A75">
        <v>14710</v>
      </c>
      <c r="B75">
        <v>2384</v>
      </c>
      <c r="C75">
        <f>B75-B76</f>
        <v>-235</v>
      </c>
    </row>
    <row r="76" spans="1:3">
      <c r="A76">
        <v>14786</v>
      </c>
      <c r="B76">
        <v>2619</v>
      </c>
      <c r="C76">
        <f>B76-B77</f>
        <v>23</v>
      </c>
    </row>
    <row r="77" spans="1:3">
      <c r="A77">
        <v>14884</v>
      </c>
      <c r="B77">
        <v>2596</v>
      </c>
      <c r="C77">
        <f t="shared" ref="C77" si="1">B77-B78</f>
        <v>25</v>
      </c>
    </row>
    <row r="78" spans="1:3">
      <c r="A78">
        <v>14982</v>
      </c>
      <c r="B78">
        <v>2571</v>
      </c>
      <c r="C78">
        <f t="shared" ref="C78:C84" si="2">B78-B77</f>
        <v>-25</v>
      </c>
    </row>
    <row r="79" spans="1:3">
      <c r="A79">
        <v>15047</v>
      </c>
      <c r="B79">
        <v>2633</v>
      </c>
      <c r="C79">
        <f t="shared" si="2"/>
        <v>62</v>
      </c>
    </row>
    <row r="80" spans="1:3">
      <c r="A80">
        <v>15094</v>
      </c>
      <c r="B80">
        <v>2901</v>
      </c>
      <c r="C80">
        <f t="shared" si="2"/>
        <v>268</v>
      </c>
    </row>
    <row r="81" spans="1:4">
      <c r="A81">
        <v>15094</v>
      </c>
      <c r="B81">
        <v>3201</v>
      </c>
      <c r="C81">
        <f t="shared" si="2"/>
        <v>300</v>
      </c>
    </row>
    <row r="82" spans="1:4">
      <c r="A82">
        <v>15071</v>
      </c>
      <c r="B82">
        <v>3129</v>
      </c>
      <c r="C82">
        <f t="shared" si="2"/>
        <v>-72</v>
      </c>
    </row>
    <row r="83" spans="1:4">
      <c r="A83">
        <v>15070</v>
      </c>
      <c r="B83">
        <v>3114</v>
      </c>
      <c r="C83">
        <f t="shared" si="2"/>
        <v>-15</v>
      </c>
    </row>
    <row r="84" spans="1:4">
      <c r="A84">
        <v>15068</v>
      </c>
      <c r="B84">
        <v>3107</v>
      </c>
      <c r="C84">
        <f t="shared" si="2"/>
        <v>-7</v>
      </c>
    </row>
    <row r="89" spans="1:4">
      <c r="C89" s="11" t="s">
        <v>16</v>
      </c>
      <c r="D89" t="s">
        <v>17</v>
      </c>
    </row>
    <row r="90" spans="1:4">
      <c r="C90" s="13">
        <f>A59</f>
        <v>4699259.97</v>
      </c>
      <c r="D90" s="12">
        <f>B59</f>
        <v>1132301.24</v>
      </c>
    </row>
    <row r="91" spans="1:4">
      <c r="A91" s="11"/>
      <c r="B91" s="11"/>
      <c r="C91" s="13"/>
      <c r="D91" s="16">
        <f>D90/C90</f>
        <v>0.24095309628081718</v>
      </c>
    </row>
    <row r="92" spans="1:4">
      <c r="D92" s="11"/>
    </row>
    <row r="93" spans="1:4">
      <c r="C93" s="12"/>
      <c r="D93" s="13"/>
    </row>
    <row r="95" spans="1:4">
      <c r="D95" s="5"/>
    </row>
    <row r="96" spans="1:4">
      <c r="D96" s="5"/>
    </row>
    <row r="104" spans="1:3">
      <c r="A104" s="21">
        <v>45931</v>
      </c>
      <c r="B104" s="12"/>
    </row>
    <row r="105" spans="1:3">
      <c r="A105" s="21"/>
      <c r="B105" s="13">
        <v>750862.43</v>
      </c>
      <c r="C105" s="5"/>
    </row>
    <row r="106" spans="1:3">
      <c r="A106" s="21"/>
      <c r="B106" s="13"/>
      <c r="C106" s="5"/>
    </row>
    <row r="107" spans="1:3">
      <c r="A107" s="21">
        <v>45932</v>
      </c>
      <c r="B107" s="13"/>
    </row>
    <row r="108" spans="1:3">
      <c r="A108" s="21"/>
      <c r="B108" s="13">
        <v>718219.98</v>
      </c>
      <c r="C108" s="5">
        <f>B108-B105</f>
        <v>-32642.45000000007</v>
      </c>
    </row>
    <row r="109" spans="1:3">
      <c r="A109" s="21"/>
      <c r="B109" s="13"/>
      <c r="C109" s="5"/>
    </row>
    <row r="110" spans="1:3" ht="15" customHeight="1">
      <c r="A110" s="21">
        <v>45933</v>
      </c>
      <c r="B110" s="13">
        <v>3948676.65</v>
      </c>
    </row>
    <row r="111" spans="1:3" ht="15" customHeight="1">
      <c r="A111" s="21"/>
      <c r="B111" s="13">
        <v>711700.12</v>
      </c>
      <c r="C111" s="5">
        <f>B111-B108</f>
        <v>-6519.859999999986</v>
      </c>
    </row>
    <row r="112" spans="1:3" ht="15" customHeight="1">
      <c r="A112" s="21"/>
      <c r="B112" s="13"/>
      <c r="C112" s="5"/>
    </row>
    <row r="113" spans="1:5">
      <c r="A113" s="21">
        <v>45936</v>
      </c>
      <c r="B113" s="13">
        <v>3951235.16</v>
      </c>
    </row>
    <row r="114" spans="1:5">
      <c r="A114" s="21"/>
      <c r="B114" s="13">
        <v>693040.47</v>
      </c>
      <c r="C114" s="5">
        <f>B114-B111</f>
        <v>-18659.650000000023</v>
      </c>
    </row>
    <row r="115" spans="1:5">
      <c r="A115" s="21"/>
      <c r="B115" s="13"/>
      <c r="C115" s="5"/>
    </row>
    <row r="116" spans="1:5">
      <c r="A116" s="21">
        <v>45937</v>
      </c>
      <c r="B116" s="13">
        <v>3951235.16</v>
      </c>
    </row>
    <row r="117" spans="1:5">
      <c r="A117" s="21"/>
      <c r="B117" s="13">
        <v>719302.11</v>
      </c>
      <c r="C117" s="5">
        <f>B117-B114</f>
        <v>26261.640000000014</v>
      </c>
    </row>
    <row r="118" spans="1:5">
      <c r="A118" s="21"/>
      <c r="B118" s="13"/>
      <c r="C118" s="5"/>
    </row>
    <row r="119" spans="1:5">
      <c r="A119" s="21">
        <v>45938</v>
      </c>
      <c r="B119" s="13">
        <v>4051136.5</v>
      </c>
    </row>
    <row r="120" spans="1:5">
      <c r="A120" s="21"/>
      <c r="B120" s="13">
        <v>723433.54</v>
      </c>
      <c r="C120" s="5">
        <f>B120-B117</f>
        <v>4131.4300000000512</v>
      </c>
    </row>
    <row r="121" spans="1:5">
      <c r="A121" s="21"/>
      <c r="B121" s="13"/>
      <c r="C121" s="5"/>
    </row>
    <row r="122" spans="1:5">
      <c r="A122" s="21">
        <v>45939</v>
      </c>
      <c r="B122" s="13">
        <v>4051136.5</v>
      </c>
    </row>
    <row r="123" spans="1:5">
      <c r="A123" s="21"/>
      <c r="B123" s="13">
        <v>725433.54</v>
      </c>
      <c r="C123" s="5">
        <f>B123-B121</f>
        <v>725433.54</v>
      </c>
    </row>
    <row r="124" spans="1:5">
      <c r="A124" s="11"/>
    </row>
    <row r="125" spans="1:5">
      <c r="A125" s="11"/>
      <c r="B125" s="13"/>
    </row>
    <row r="126" spans="1:5">
      <c r="A126" s="21">
        <v>45940</v>
      </c>
      <c r="B126" s="13">
        <v>4156278.98</v>
      </c>
    </row>
    <row r="127" spans="1:5">
      <c r="A127" s="11"/>
      <c r="B127" s="13">
        <v>722846.57</v>
      </c>
      <c r="C127" s="5">
        <f>B127-B123</f>
        <v>-2586.9700000000885</v>
      </c>
      <c r="E127" s="5"/>
    </row>
    <row r="128" spans="1:5">
      <c r="A128" s="11"/>
      <c r="B128" s="13"/>
    </row>
    <row r="129" spans="1:3">
      <c r="A129" s="21">
        <v>45943</v>
      </c>
      <c r="B129" s="13">
        <v>4195792.5999999996</v>
      </c>
      <c r="C129" s="5"/>
    </row>
    <row r="130" spans="1:3">
      <c r="A130" s="11"/>
      <c r="B130" s="13">
        <v>676085.85</v>
      </c>
      <c r="C130" s="5">
        <f>B130-B127</f>
        <v>-46760.719999999972</v>
      </c>
    </row>
    <row r="131" spans="1:3">
      <c r="A131" s="11"/>
      <c r="B131" s="13"/>
    </row>
    <row r="132" spans="1:3">
      <c r="A132" s="21">
        <v>45944</v>
      </c>
      <c r="B132" s="13">
        <v>4205977.1399999997</v>
      </c>
    </row>
    <row r="133" spans="1:3">
      <c r="A133" s="11"/>
      <c r="B133" s="13">
        <v>800345.02</v>
      </c>
      <c r="C133" s="5">
        <f>B133-B130</f>
        <v>124259.17000000004</v>
      </c>
    </row>
    <row r="134" spans="1:3">
      <c r="A134" s="11"/>
      <c r="B134" s="13"/>
    </row>
    <row r="135" spans="1:3">
      <c r="A135" s="21">
        <v>45945</v>
      </c>
      <c r="B135" s="13">
        <v>4245095.8499999996</v>
      </c>
      <c r="C135" s="5">
        <f>B135-B132</f>
        <v>39118.709999999963</v>
      </c>
    </row>
    <row r="136" spans="1:3">
      <c r="A136" s="11"/>
      <c r="B136" s="13">
        <v>800345.02</v>
      </c>
    </row>
    <row r="137" spans="1:3">
      <c r="A137" s="11"/>
      <c r="B137" s="13"/>
    </row>
    <row r="138" spans="1:3">
      <c r="A138" s="21">
        <v>45946</v>
      </c>
      <c r="B138" s="13">
        <v>4270094.04</v>
      </c>
      <c r="C138" s="5">
        <f>B138-B135</f>
        <v>24998.19000000041</v>
      </c>
    </row>
    <row r="139" spans="1:3">
      <c r="A139" s="11"/>
      <c r="B139" s="13">
        <v>855485.57</v>
      </c>
    </row>
    <row r="140" spans="1:3">
      <c r="A140" s="11"/>
      <c r="B140" s="13"/>
    </row>
    <row r="141" spans="1:3">
      <c r="A141" s="21">
        <v>45947</v>
      </c>
      <c r="B141" s="13">
        <v>4273580.04</v>
      </c>
      <c r="C141" s="5">
        <f>B141-B138</f>
        <v>3486</v>
      </c>
    </row>
    <row r="142" spans="1:3">
      <c r="A142" s="11"/>
      <c r="B142" s="13">
        <v>820161.2</v>
      </c>
    </row>
    <row r="143" spans="1:3">
      <c r="A143" s="11"/>
      <c r="B143" s="13"/>
    </row>
    <row r="144" spans="1:3">
      <c r="A144" s="21">
        <v>45950</v>
      </c>
      <c r="B144" s="13">
        <v>4380708.29</v>
      </c>
      <c r="C144" s="5">
        <f>B144-B141</f>
        <v>107128.25</v>
      </c>
    </row>
    <row r="145" spans="1:7">
      <c r="A145" s="11"/>
      <c r="B145" s="13">
        <v>786157.26</v>
      </c>
      <c r="C145" t="s">
        <v>38</v>
      </c>
    </row>
    <row r="146" spans="1:7">
      <c r="A146" s="11"/>
      <c r="B146" s="13"/>
    </row>
    <row r="147" spans="1:7">
      <c r="A147" s="21">
        <v>45951</v>
      </c>
      <c r="B147" s="13">
        <v>4486147.29</v>
      </c>
      <c r="C147" s="5">
        <f>B147-B144</f>
        <v>105439</v>
      </c>
    </row>
    <row r="148" spans="1:7">
      <c r="A148" s="11"/>
      <c r="B148" s="13">
        <v>847033.72</v>
      </c>
    </row>
    <row r="149" spans="1:7">
      <c r="A149" s="11"/>
      <c r="B149" s="13"/>
    </row>
    <row r="150" spans="1:7">
      <c r="A150" s="21">
        <v>45952</v>
      </c>
      <c r="B150" s="13">
        <v>4555417.18</v>
      </c>
      <c r="C150" s="5">
        <f>B151-B148</f>
        <v>34348.460000000079</v>
      </c>
    </row>
    <row r="151" spans="1:7">
      <c r="A151" s="11"/>
      <c r="B151" s="13">
        <v>881382.18</v>
      </c>
    </row>
    <row r="152" spans="1:7">
      <c r="A152" s="11"/>
      <c r="B152" s="13"/>
      <c r="G152" s="5"/>
    </row>
    <row r="153" spans="1:7">
      <c r="A153" s="21">
        <v>45953</v>
      </c>
      <c r="B153" s="13">
        <v>4602409.43</v>
      </c>
    </row>
    <row r="154" spans="1:7">
      <c r="A154" s="11"/>
      <c r="B154" s="13">
        <v>880401.62</v>
      </c>
      <c r="C154" s="5">
        <f>B154-B151</f>
        <v>-980.56000000005588</v>
      </c>
    </row>
    <row r="155" spans="1:7">
      <c r="A155" s="11"/>
      <c r="B155" s="13"/>
    </row>
    <row r="156" spans="1:7">
      <c r="A156" s="21">
        <v>45954</v>
      </c>
      <c r="B156" s="13">
        <v>4669231.66</v>
      </c>
    </row>
    <row r="157" spans="1:7">
      <c r="A157" s="11"/>
      <c r="B157" s="13">
        <v>888196.6</v>
      </c>
      <c r="C157" s="5">
        <f>B156-B153</f>
        <v>66822.230000000447</v>
      </c>
    </row>
    <row r="158" spans="1:7">
      <c r="A158" s="11"/>
      <c r="B158" s="13"/>
    </row>
    <row r="159" spans="1:7">
      <c r="A159" s="21">
        <v>45957</v>
      </c>
      <c r="B159" s="13">
        <v>4718888.3600000003</v>
      </c>
      <c r="C159" s="5"/>
    </row>
    <row r="160" spans="1:7">
      <c r="A160" s="11"/>
      <c r="B160" s="13">
        <v>1007218.98</v>
      </c>
      <c r="C160" s="5">
        <f>B160-B157</f>
        <v>119022.38</v>
      </c>
    </row>
    <row r="161" spans="1:3">
      <c r="A161" s="11"/>
      <c r="B161" s="13"/>
    </row>
    <row r="162" spans="1:3">
      <c r="A162" s="21">
        <v>45958</v>
      </c>
      <c r="B162" s="13">
        <v>4718676.2</v>
      </c>
    </row>
    <row r="163" spans="1:3">
      <c r="A163" s="11"/>
      <c r="B163" s="13">
        <v>1190000.55</v>
      </c>
      <c r="C163" s="5">
        <f>B163-B160</f>
        <v>182781.57000000007</v>
      </c>
    </row>
    <row r="164" spans="1:3">
      <c r="A164" s="11"/>
      <c r="B164" s="13"/>
    </row>
    <row r="165" spans="1:3">
      <c r="A165" s="21">
        <v>45959</v>
      </c>
      <c r="B165" s="13">
        <v>4701446.53</v>
      </c>
    </row>
    <row r="166" spans="1:3">
      <c r="A166" s="11"/>
      <c r="B166" s="13">
        <v>1108109.1100000001</v>
      </c>
      <c r="C166" s="5">
        <f>B166-B163</f>
        <v>-81891.439999999944</v>
      </c>
    </row>
    <row r="167" spans="1:3">
      <c r="A167" s="11"/>
      <c r="B167" s="13"/>
    </row>
    <row r="168" spans="1:3">
      <c r="A168" s="21">
        <v>45960</v>
      </c>
      <c r="B168" s="13">
        <v>4704556.58</v>
      </c>
    </row>
    <row r="169" spans="1:3">
      <c r="A169" s="11"/>
      <c r="B169" s="13">
        <v>1113319.07</v>
      </c>
      <c r="C169" s="5">
        <f>B169-B166</f>
        <v>5209.9599999999627</v>
      </c>
    </row>
    <row r="170" spans="1:3">
      <c r="A170" s="11"/>
      <c r="B170" s="13"/>
    </row>
    <row r="171" spans="1:3">
      <c r="A171" s="21">
        <v>45961</v>
      </c>
      <c r="B171" s="13">
        <v>4699259.7699999996</v>
      </c>
    </row>
    <row r="172" spans="1:3">
      <c r="A172" s="11"/>
      <c r="B172" s="13">
        <v>1132301.24</v>
      </c>
      <c r="C172" s="5">
        <f>B172-B169</f>
        <v>18982.169999999925</v>
      </c>
    </row>
    <row r="173" spans="1:3">
      <c r="A173" s="11"/>
      <c r="B173" s="13"/>
    </row>
    <row r="174" spans="1:3">
      <c r="A174" s="11"/>
      <c r="B174" s="13"/>
    </row>
    <row r="175" spans="1:3">
      <c r="A175" s="11"/>
      <c r="B175" s="13"/>
    </row>
    <row r="176" spans="1:3">
      <c r="A176" s="11"/>
      <c r="B176" s="13"/>
    </row>
    <row r="177" spans="1:2">
      <c r="A177" s="11"/>
      <c r="B177" s="13"/>
    </row>
    <row r="178" spans="1:2">
      <c r="A178" s="11"/>
      <c r="B178" s="13"/>
    </row>
    <row r="179" spans="1:2">
      <c r="A179" s="11"/>
      <c r="B179" s="13"/>
    </row>
    <row r="180" spans="1:2">
      <c r="B180" s="20"/>
    </row>
    <row r="181" spans="1:2">
      <c r="B181" s="20"/>
    </row>
    <row r="182" spans="1:2">
      <c r="B182" s="20"/>
    </row>
    <row r="183" spans="1:2">
      <c r="B183" s="20"/>
    </row>
    <row r="184" spans="1:2">
      <c r="B184" s="20"/>
    </row>
    <row r="185" spans="1:2">
      <c r="B185" s="20"/>
    </row>
    <row r="186" spans="1:2">
      <c r="B186" s="20"/>
    </row>
    <row r="187" spans="1:2">
      <c r="B187" s="20"/>
    </row>
    <row r="188" spans="1:2">
      <c r="B188" s="20"/>
    </row>
    <row r="189" spans="1:2">
      <c r="B189" s="20"/>
    </row>
    <row r="190" spans="1:2">
      <c r="B190" s="20"/>
    </row>
    <row r="191" spans="1:2">
      <c r="B191" s="20"/>
    </row>
    <row r="192" spans="1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0"/>
    </row>
    <row r="197" spans="2:2">
      <c r="B197" s="20"/>
    </row>
    <row r="198" spans="2:2">
      <c r="B198" s="20"/>
    </row>
    <row r="199" spans="2:2">
      <c r="B199" s="20"/>
    </row>
    <row r="200" spans="2:2">
      <c r="B200" s="20"/>
    </row>
    <row r="201" spans="2:2">
      <c r="B201" s="20"/>
    </row>
    <row r="202" spans="2:2">
      <c r="B202" s="20"/>
    </row>
    <row r="203" spans="2:2">
      <c r="B203" s="20"/>
    </row>
    <row r="204" spans="2:2">
      <c r="B204" s="20"/>
    </row>
    <row r="205" spans="2:2">
      <c r="B205" s="20"/>
    </row>
    <row r="206" spans="2:2">
      <c r="B206" s="20"/>
    </row>
    <row r="207" spans="2:2">
      <c r="B207" s="20"/>
    </row>
    <row r="208" spans="2:2">
      <c r="B208" s="20"/>
    </row>
    <row r="209" spans="2:2">
      <c r="B209" s="20"/>
    </row>
    <row r="210" spans="2:2">
      <c r="B210" s="20"/>
    </row>
    <row r="211" spans="2:2">
      <c r="B211" s="20"/>
    </row>
    <row r="212" spans="2:2">
      <c r="B212" s="20"/>
    </row>
    <row r="213" spans="2:2">
      <c r="B213" s="20"/>
    </row>
    <row r="214" spans="2:2">
      <c r="B214" s="20"/>
    </row>
    <row r="215" spans="2:2">
      <c r="B215" s="20"/>
    </row>
    <row r="216" spans="2:2">
      <c r="B216" s="20"/>
    </row>
    <row r="217" spans="2:2">
      <c r="B217" s="20"/>
    </row>
    <row r="218" spans="2:2">
      <c r="B218" s="20"/>
    </row>
    <row r="219" spans="2:2">
      <c r="B219" s="20"/>
    </row>
    <row r="220" spans="2:2">
      <c r="B220" s="20"/>
    </row>
    <row r="221" spans="2:2">
      <c r="B221" s="20"/>
    </row>
    <row r="222" spans="2:2">
      <c r="B222" s="20"/>
    </row>
    <row r="223" spans="2:2">
      <c r="B223" s="20"/>
    </row>
    <row r="224" spans="2:2">
      <c r="B224" s="20"/>
    </row>
    <row r="225" spans="2:2">
      <c r="B225" s="20"/>
    </row>
    <row r="226" spans="2:2">
      <c r="B226" s="20"/>
    </row>
    <row r="227" spans="2:2">
      <c r="B227" s="20"/>
    </row>
    <row r="228" spans="2:2">
      <c r="B228" s="20"/>
    </row>
    <row r="229" spans="2:2">
      <c r="B229" s="20"/>
    </row>
    <row r="230" spans="2:2">
      <c r="B230" s="20"/>
    </row>
    <row r="231" spans="2:2">
      <c r="B231" s="20"/>
    </row>
    <row r="232" spans="2:2">
      <c r="B232" s="20"/>
    </row>
    <row r="233" spans="2:2">
      <c r="B233" s="20"/>
    </row>
    <row r="234" spans="2:2">
      <c r="B234" s="20"/>
    </row>
    <row r="235" spans="2:2">
      <c r="B235" s="20"/>
    </row>
    <row r="236" spans="2:2">
      <c r="B236" s="20"/>
    </row>
    <row r="237" spans="2:2">
      <c r="B237" s="20"/>
    </row>
    <row r="238" spans="2:2">
      <c r="B238" s="20"/>
    </row>
    <row r="239" spans="2:2">
      <c r="B239" s="20"/>
    </row>
    <row r="240" spans="2:2">
      <c r="B240" s="20"/>
    </row>
    <row r="241" spans="2:2">
      <c r="B241" s="20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1666-54F9-44D0-9EC4-E7BF3917B9FF}">
  <dimension ref="A1:Q166"/>
  <sheetViews>
    <sheetView topLeftCell="A152" zoomScaleNormal="100" workbookViewId="0">
      <selection activeCell="D102" sqref="D102"/>
    </sheetView>
  </sheetViews>
  <sheetFormatPr defaultRowHeight="15"/>
  <cols>
    <col min="1" max="1" width="11.5703125" bestFit="1" customWidth="1"/>
    <col min="2" max="2" width="29.28515625" bestFit="1" customWidth="1"/>
    <col min="3" max="3" width="15.7109375" bestFit="1" customWidth="1"/>
    <col min="4" max="4" width="26" bestFit="1" customWidth="1"/>
    <col min="5" max="5" width="24.5703125" bestFit="1" customWidth="1"/>
    <col min="6" max="6" width="21.85546875" bestFit="1" customWidth="1"/>
    <col min="8" max="8" width="17.28515625" bestFit="1" customWidth="1"/>
    <col min="11" max="11" width="21.28515625" bestFit="1" customWidth="1"/>
    <col min="12" max="12" width="18.5703125" customWidth="1"/>
  </cols>
  <sheetData>
    <row r="1" spans="2:12">
      <c r="B1" s="7" t="s">
        <v>0</v>
      </c>
      <c r="C1" s="6" t="s">
        <v>1</v>
      </c>
      <c r="K1" s="8"/>
    </row>
    <row r="2" spans="2:12">
      <c r="B2" t="s">
        <v>2</v>
      </c>
      <c r="C2" s="9">
        <v>1.3599999999999999E-2</v>
      </c>
    </row>
    <row r="3" spans="2:12">
      <c r="B3" t="s">
        <v>3</v>
      </c>
      <c r="C3" s="9">
        <v>9.8500000000000004E-2</v>
      </c>
      <c r="L3" s="9"/>
    </row>
    <row r="4" spans="2:12">
      <c r="B4" t="s">
        <v>4</v>
      </c>
      <c r="C4" s="9">
        <v>6.1899999999999997E-2</v>
      </c>
      <c r="L4" s="9"/>
    </row>
    <row r="5" spans="2:12">
      <c r="B5" t="s">
        <v>5</v>
      </c>
      <c r="C5" s="9">
        <v>0.11409999999999999</v>
      </c>
      <c r="L5" s="9"/>
    </row>
    <row r="6" spans="2:12">
      <c r="B6" t="s">
        <v>6</v>
      </c>
      <c r="C6" s="9">
        <v>0.1053</v>
      </c>
      <c r="L6" s="9"/>
    </row>
    <row r="7" spans="2:12">
      <c r="B7" t="s">
        <v>30</v>
      </c>
      <c r="C7" s="9">
        <v>0.1832</v>
      </c>
      <c r="L7" s="9"/>
    </row>
    <row r="8" spans="2:12">
      <c r="B8" t="s">
        <v>19</v>
      </c>
      <c r="C8" s="9">
        <v>0.1883</v>
      </c>
      <c r="L8" s="9"/>
    </row>
    <row r="9" spans="2:12">
      <c r="B9" t="s">
        <v>20</v>
      </c>
      <c r="C9" s="9">
        <v>0.27689999999999998</v>
      </c>
    </row>
    <row r="10" spans="2:12">
      <c r="B10" t="s">
        <v>36</v>
      </c>
      <c r="C10" s="9">
        <v>0.39360000000000001</v>
      </c>
    </row>
    <row r="11" spans="2:12">
      <c r="C11" s="9"/>
    </row>
    <row r="12" spans="2:12">
      <c r="B12" t="s">
        <v>7</v>
      </c>
      <c r="C12" s="9">
        <v>0.1595</v>
      </c>
    </row>
    <row r="18" spans="2:17">
      <c r="Q18" s="7"/>
    </row>
    <row r="19" spans="2:17">
      <c r="Q19" s="7"/>
    </row>
    <row r="20" spans="2:17">
      <c r="B20" s="7" t="s">
        <v>39</v>
      </c>
    </row>
    <row r="21" spans="2:17">
      <c r="B21" s="7" t="s">
        <v>9</v>
      </c>
      <c r="C21" s="7" t="s">
        <v>10</v>
      </c>
    </row>
    <row r="22" spans="2:17">
      <c r="B22" s="1">
        <v>1108448.93</v>
      </c>
      <c r="C22" s="2">
        <v>45964</v>
      </c>
    </row>
    <row r="23" spans="2:17">
      <c r="B23" s="1">
        <v>1169046.3700000001</v>
      </c>
      <c r="C23" s="2">
        <v>45965</v>
      </c>
    </row>
    <row r="24" spans="2:17">
      <c r="B24" s="1">
        <v>1192780.44</v>
      </c>
      <c r="C24" s="2">
        <v>45966</v>
      </c>
    </row>
    <row r="25" spans="2:17">
      <c r="B25" s="1">
        <v>1467817.16</v>
      </c>
      <c r="C25" s="2">
        <v>45967</v>
      </c>
    </row>
    <row r="26" spans="2:17">
      <c r="B26" s="1">
        <v>1442281.38</v>
      </c>
      <c r="C26" s="2">
        <v>45968</v>
      </c>
    </row>
    <row r="27" spans="2:17">
      <c r="B27" s="1">
        <v>1401869.03</v>
      </c>
      <c r="C27" s="2">
        <v>45971</v>
      </c>
    </row>
    <row r="28" spans="2:17">
      <c r="B28" s="1">
        <v>1764676.98</v>
      </c>
      <c r="C28" s="2">
        <v>45972</v>
      </c>
    </row>
    <row r="29" spans="2:17">
      <c r="B29" s="1">
        <v>1315934.05</v>
      </c>
      <c r="C29" s="2">
        <v>45973</v>
      </c>
    </row>
    <row r="30" spans="2:17">
      <c r="B30" s="1">
        <v>1434997.62</v>
      </c>
      <c r="C30" s="2">
        <v>45974</v>
      </c>
    </row>
    <row r="31" spans="2:17">
      <c r="B31" s="1">
        <v>1397428.81</v>
      </c>
      <c r="C31" s="2">
        <v>45975</v>
      </c>
    </row>
    <row r="32" spans="2:17">
      <c r="B32" s="1">
        <v>1532976.74</v>
      </c>
      <c r="C32" s="2">
        <v>45978</v>
      </c>
    </row>
    <row r="33" spans="1:4">
      <c r="B33" s="1">
        <v>1495657.33</v>
      </c>
      <c r="C33" s="2">
        <v>45979</v>
      </c>
    </row>
    <row r="34" spans="1:4">
      <c r="B34" s="1">
        <v>1479120.71</v>
      </c>
      <c r="C34" s="2">
        <v>45980</v>
      </c>
    </row>
    <row r="35" spans="1:4">
      <c r="B35" s="1">
        <v>1516139.02</v>
      </c>
      <c r="C35" s="2">
        <v>45982</v>
      </c>
    </row>
    <row r="36" spans="1:4">
      <c r="B36" s="1">
        <v>1474081.65</v>
      </c>
      <c r="C36" s="2">
        <v>45985</v>
      </c>
    </row>
    <row r="37" spans="1:4">
      <c r="B37" s="1">
        <v>1551889</v>
      </c>
      <c r="C37" s="2">
        <v>45986</v>
      </c>
    </row>
    <row r="38" spans="1:4">
      <c r="B38" s="1">
        <v>1529944.13</v>
      </c>
      <c r="C38" s="2">
        <v>45987</v>
      </c>
    </row>
    <row r="39" spans="1:4">
      <c r="B39" s="1">
        <v>1596487.4</v>
      </c>
      <c r="C39" s="2">
        <v>45988</v>
      </c>
    </row>
    <row r="40" spans="1:4">
      <c r="B40" s="1">
        <v>1855633.74</v>
      </c>
      <c r="C40" s="2">
        <v>45989</v>
      </c>
    </row>
    <row r="41" spans="1:4">
      <c r="B41" s="1">
        <v>1778926.55</v>
      </c>
      <c r="C41" s="2">
        <v>45991</v>
      </c>
    </row>
    <row r="42" spans="1:4">
      <c r="B42" s="1"/>
      <c r="C42" s="2"/>
    </row>
    <row r="43" spans="1:4">
      <c r="B43" s="1"/>
      <c r="C43" s="2"/>
    </row>
    <row r="44" spans="1:4">
      <c r="B44" s="1"/>
      <c r="C44" s="2"/>
    </row>
    <row r="45" spans="1:4">
      <c r="B45" s="1"/>
      <c r="C45" s="2"/>
    </row>
    <row r="46" spans="1:4">
      <c r="B46" s="1"/>
      <c r="C46" s="2"/>
      <c r="D46" s="1"/>
    </row>
    <row r="48" spans="1:4">
      <c r="A48" s="59" t="s">
        <v>40</v>
      </c>
      <c r="B48" s="59"/>
    </row>
    <row r="49" spans="1:8">
      <c r="A49" t="s">
        <v>41</v>
      </c>
      <c r="B49" t="s">
        <v>11</v>
      </c>
      <c r="C49" t="s">
        <v>12</v>
      </c>
      <c r="D49" t="s">
        <v>1</v>
      </c>
    </row>
    <row r="50" spans="1:8">
      <c r="A50" s="18">
        <v>45717</v>
      </c>
      <c r="B50" s="5">
        <v>13135.81</v>
      </c>
      <c r="C50" s="5">
        <v>178.12</v>
      </c>
      <c r="D50" s="10">
        <f t="shared" ref="D50:D57" si="0">C50/B50</f>
        <v>1.3559879444054079E-2</v>
      </c>
    </row>
    <row r="51" spans="1:8">
      <c r="A51" s="18">
        <v>45748</v>
      </c>
      <c r="B51" s="5">
        <v>105231.74</v>
      </c>
      <c r="C51" s="5">
        <v>10365.75</v>
      </c>
      <c r="D51" s="10">
        <f t="shared" si="0"/>
        <v>9.8504025496489928E-2</v>
      </c>
    </row>
    <row r="52" spans="1:8">
      <c r="A52" s="18">
        <v>45778</v>
      </c>
      <c r="B52" s="5">
        <v>115221.56</v>
      </c>
      <c r="C52" s="5">
        <v>7128.95</v>
      </c>
      <c r="D52" s="10">
        <f t="shared" si="0"/>
        <v>6.1871667073419248E-2</v>
      </c>
    </row>
    <row r="53" spans="1:8">
      <c r="A53" s="18">
        <v>45809</v>
      </c>
      <c r="B53" s="5">
        <v>233306.11</v>
      </c>
      <c r="C53" s="5">
        <v>26610.11</v>
      </c>
      <c r="D53" s="10">
        <f t="shared" si="0"/>
        <v>0.11405663572205632</v>
      </c>
      <c r="H53" s="5"/>
    </row>
    <row r="54" spans="1:8">
      <c r="A54" s="18">
        <v>45839</v>
      </c>
      <c r="B54" s="5">
        <v>390102.65</v>
      </c>
      <c r="C54" s="5">
        <v>41094.93</v>
      </c>
      <c r="D54" s="10">
        <f t="shared" si="0"/>
        <v>0.10534388833298107</v>
      </c>
    </row>
    <row r="55" spans="1:8">
      <c r="A55" s="18">
        <v>45870</v>
      </c>
      <c r="B55" s="5">
        <v>359682.02</v>
      </c>
      <c r="C55" s="5">
        <v>65909.009999999995</v>
      </c>
      <c r="D55" s="10">
        <f t="shared" si="0"/>
        <v>0.18324243730615167</v>
      </c>
      <c r="H55" s="5"/>
    </row>
    <row r="56" spans="1:8">
      <c r="A56" s="18">
        <v>45901</v>
      </c>
      <c r="B56" s="5">
        <v>975667.39</v>
      </c>
      <c r="C56" s="5">
        <v>183756</v>
      </c>
      <c r="D56" s="10">
        <f t="shared" si="0"/>
        <v>0.18833877393401455</v>
      </c>
      <c r="F56" s="5"/>
      <c r="H56" s="10"/>
    </row>
    <row r="57" spans="1:8">
      <c r="A57" s="18">
        <v>45931</v>
      </c>
      <c r="B57" s="5">
        <v>1728332.67</v>
      </c>
      <c r="C57" s="5">
        <v>478529.93</v>
      </c>
      <c r="D57" s="10">
        <f t="shared" si="0"/>
        <v>0.27687373982232255</v>
      </c>
      <c r="H57" s="10"/>
    </row>
    <row r="58" spans="1:8">
      <c r="A58" s="18">
        <v>45962</v>
      </c>
      <c r="B58" s="5">
        <v>2452515.9</v>
      </c>
      <c r="C58" s="5">
        <v>965353.75</v>
      </c>
      <c r="D58" s="10">
        <f>C58/B58</f>
        <v>0.39361773352825158</v>
      </c>
    </row>
    <row r="59" spans="1:8">
      <c r="A59" s="18"/>
      <c r="B59" s="5"/>
      <c r="C59" s="5"/>
      <c r="D59" s="10"/>
    </row>
    <row r="60" spans="1:8">
      <c r="A60" s="8" t="s">
        <v>42</v>
      </c>
      <c r="B60" s="20">
        <f>SUM(B50:B59)</f>
        <v>6373195.8499999996</v>
      </c>
      <c r="C60" s="20">
        <f>SUM(C50:C59)</f>
        <v>1778926.55</v>
      </c>
      <c r="D60" s="23">
        <f t="shared" ref="D60" si="1">C60/B60</f>
        <v>0.27912629579710785</v>
      </c>
    </row>
    <row r="61" spans="1:8">
      <c r="A61" s="8"/>
      <c r="B61" s="20"/>
      <c r="C61" s="20"/>
      <c r="D61" s="23"/>
    </row>
    <row r="62" spans="1:8">
      <c r="A62" s="8"/>
      <c r="B62" s="20"/>
      <c r="C62" s="20"/>
      <c r="D62" s="23"/>
    </row>
    <row r="63" spans="1:8">
      <c r="A63" s="8"/>
      <c r="B63" s="20"/>
      <c r="C63" s="20"/>
      <c r="D63" s="23"/>
    </row>
    <row r="65" spans="1:4">
      <c r="A65" s="59" t="s">
        <v>43</v>
      </c>
      <c r="B65" s="59"/>
    </row>
    <row r="66" spans="1:4">
      <c r="A66" t="s">
        <v>41</v>
      </c>
      <c r="B66" t="s">
        <v>11</v>
      </c>
      <c r="C66" t="s">
        <v>12</v>
      </c>
      <c r="D66" t="s">
        <v>1</v>
      </c>
    </row>
    <row r="67" spans="1:4">
      <c r="A67" s="18">
        <v>45870</v>
      </c>
      <c r="B67" s="5">
        <v>31541.05</v>
      </c>
      <c r="C67" s="5">
        <v>8611.83</v>
      </c>
      <c r="D67" s="10">
        <f t="shared" ref="D67:D69" si="2">C67/B67</f>
        <v>0.2730356154915578</v>
      </c>
    </row>
    <row r="68" spans="1:4">
      <c r="A68" s="18">
        <v>45901</v>
      </c>
      <c r="B68" s="5">
        <v>142410.9</v>
      </c>
      <c r="C68" s="5">
        <v>24940.720000000001</v>
      </c>
      <c r="D68" s="10">
        <f t="shared" si="2"/>
        <v>0.17513210014121111</v>
      </c>
    </row>
    <row r="69" spans="1:4">
      <c r="A69" s="18">
        <v>45931</v>
      </c>
      <c r="B69" s="5">
        <v>238956.38</v>
      </c>
      <c r="C69" s="5">
        <v>72154.27</v>
      </c>
      <c r="D69" s="10">
        <f t="shared" si="2"/>
        <v>0.30195582139300908</v>
      </c>
    </row>
    <row r="70" spans="1:4">
      <c r="A70" s="18">
        <v>45962</v>
      </c>
      <c r="B70" s="5">
        <v>282613.78000000003</v>
      </c>
      <c r="C70" s="5">
        <v>15366.44</v>
      </c>
      <c r="D70" s="10">
        <f>C70/B70</f>
        <v>5.4372578718560709E-2</v>
      </c>
    </row>
    <row r="72" spans="1:4">
      <c r="A72" s="8" t="s">
        <v>42</v>
      </c>
      <c r="B72" s="20">
        <f>SUM(B67:B71)</f>
        <v>695522.11</v>
      </c>
      <c r="C72" s="20">
        <f>SUM(C67:C71)</f>
        <v>121073.26000000001</v>
      </c>
      <c r="D72" s="23">
        <f>C72/B72</f>
        <v>0.17407535757562043</v>
      </c>
    </row>
    <row r="73" spans="1:4">
      <c r="B73" s="5"/>
      <c r="C73" s="5"/>
      <c r="D73" s="10"/>
    </row>
    <row r="74" spans="1:4">
      <c r="B74" s="5"/>
      <c r="C74" s="5"/>
      <c r="D74" s="10"/>
    </row>
    <row r="76" spans="1:4">
      <c r="B76" s="9" t="s">
        <v>32</v>
      </c>
      <c r="C76" t="s">
        <v>33</v>
      </c>
    </row>
    <row r="77" spans="1:4">
      <c r="B77">
        <v>19211</v>
      </c>
      <c r="C77">
        <v>3036</v>
      </c>
    </row>
    <row r="78" spans="1:4">
      <c r="B78">
        <v>19301</v>
      </c>
      <c r="C78">
        <v>3151</v>
      </c>
    </row>
    <row r="79" spans="1:4">
      <c r="B79">
        <v>15552</v>
      </c>
      <c r="C79">
        <v>3821</v>
      </c>
    </row>
    <row r="80" spans="1:4">
      <c r="B80">
        <v>12507</v>
      </c>
      <c r="C80">
        <v>3758</v>
      </c>
    </row>
    <row r="81" spans="2:5">
      <c r="B81">
        <v>12829</v>
      </c>
      <c r="C81">
        <v>3573</v>
      </c>
    </row>
    <row r="82" spans="2:5">
      <c r="B82">
        <v>12949</v>
      </c>
      <c r="C82">
        <v>3723</v>
      </c>
    </row>
    <row r="83" spans="2:5">
      <c r="B83">
        <v>15464</v>
      </c>
      <c r="C83">
        <v>3788</v>
      </c>
    </row>
    <row r="84" spans="2:5">
      <c r="B84">
        <v>15468</v>
      </c>
      <c r="C84">
        <v>3751</v>
      </c>
    </row>
    <row r="85" spans="2:5">
      <c r="B85">
        <v>15484</v>
      </c>
      <c r="C85">
        <v>3946</v>
      </c>
    </row>
    <row r="86" spans="2:5">
      <c r="B86">
        <v>15496</v>
      </c>
      <c r="C86">
        <v>3870</v>
      </c>
    </row>
    <row r="87" spans="2:5">
      <c r="B87">
        <v>15563</v>
      </c>
      <c r="C87">
        <v>3859</v>
      </c>
    </row>
    <row r="88" spans="2:5">
      <c r="B88">
        <v>15844</v>
      </c>
      <c r="C88">
        <v>3976</v>
      </c>
    </row>
    <row r="89" spans="2:5">
      <c r="B89">
        <v>15853</v>
      </c>
      <c r="C89">
        <v>3908</v>
      </c>
    </row>
    <row r="90" spans="2:5">
      <c r="B90">
        <v>15641</v>
      </c>
      <c r="C90">
        <v>4006</v>
      </c>
    </row>
    <row r="91" spans="2:5">
      <c r="B91">
        <v>15642</v>
      </c>
      <c r="C91">
        <v>3954</v>
      </c>
    </row>
    <row r="92" spans="2:5">
      <c r="B92">
        <v>15799</v>
      </c>
      <c r="C92">
        <v>4071</v>
      </c>
    </row>
    <row r="93" spans="2:5">
      <c r="B93">
        <v>15813</v>
      </c>
      <c r="C93">
        <v>4501</v>
      </c>
    </row>
    <row r="94" spans="2:5">
      <c r="B94">
        <v>18590</v>
      </c>
      <c r="C94">
        <v>4310</v>
      </c>
    </row>
    <row r="96" spans="2:5" ht="13.9" customHeight="1">
      <c r="D96" s="11" t="s">
        <v>17</v>
      </c>
      <c r="E96" s="11" t="s">
        <v>16</v>
      </c>
    </row>
    <row r="97" spans="1:7">
      <c r="D97" s="13">
        <f>B60</f>
        <v>6373195.8499999996</v>
      </c>
      <c r="E97" s="12">
        <f>C60</f>
        <v>1778926.55</v>
      </c>
      <c r="G97" s="10"/>
    </row>
    <row r="98" spans="1:7">
      <c r="B98" s="11"/>
      <c r="C98" s="11"/>
      <c r="D98" s="13"/>
      <c r="E98" s="16">
        <f>E97/D97</f>
        <v>0.27912629579710785</v>
      </c>
    </row>
    <row r="99" spans="1:7">
      <c r="D99" s="13">
        <v>2639696.81</v>
      </c>
      <c r="E99" s="11"/>
    </row>
    <row r="100" spans="1:7">
      <c r="D100" s="12"/>
      <c r="E100" s="13"/>
    </row>
    <row r="101" spans="1:7">
      <c r="D101" s="12">
        <f>D99-D97</f>
        <v>-3733499.0399999996</v>
      </c>
      <c r="E101" s="15"/>
    </row>
    <row r="104" spans="1:7">
      <c r="C104" s="5"/>
    </row>
    <row r="105" spans="1:7">
      <c r="A105" s="21">
        <v>45961</v>
      </c>
      <c r="B105" s="13">
        <v>4699259.7699999996</v>
      </c>
    </row>
    <row r="106" spans="1:7">
      <c r="A106" s="11"/>
      <c r="B106" s="13">
        <v>1132301.24</v>
      </c>
    </row>
    <row r="107" spans="1:7">
      <c r="D107" s="5"/>
    </row>
    <row r="108" spans="1:7">
      <c r="A108" s="21">
        <v>45964</v>
      </c>
      <c r="B108" s="13">
        <v>6598398.4299999997</v>
      </c>
      <c r="D108" s="5"/>
    </row>
    <row r="109" spans="1:7">
      <c r="A109" s="13"/>
      <c r="B109" s="13">
        <v>1108448.93</v>
      </c>
      <c r="C109" s="5">
        <f>B109-B106</f>
        <v>-23852.310000000056</v>
      </c>
    </row>
    <row r="111" spans="1:7">
      <c r="A111" s="2">
        <v>45965</v>
      </c>
      <c r="B111" s="13">
        <v>6657672.5999999996</v>
      </c>
      <c r="C111" s="5">
        <f>B112-B109</f>
        <v>60597.440000000177</v>
      </c>
    </row>
    <row r="112" spans="1:7">
      <c r="B112" s="13">
        <v>1169046.3700000001</v>
      </c>
    </row>
    <row r="114" spans="1:3">
      <c r="A114" s="2">
        <v>45966</v>
      </c>
      <c r="B114" s="13">
        <v>4864632.17</v>
      </c>
    </row>
    <row r="115" spans="1:3">
      <c r="B115" s="13">
        <v>1177363.6100000001</v>
      </c>
      <c r="C115" s="5">
        <f>B115-B112</f>
        <v>8317.2399999999907</v>
      </c>
    </row>
    <row r="117" spans="1:3">
      <c r="A117" s="2">
        <v>45967</v>
      </c>
      <c r="B117" s="13">
        <v>4861517.87</v>
      </c>
    </row>
    <row r="118" spans="1:3">
      <c r="B118" s="13">
        <v>1467817.16</v>
      </c>
      <c r="C118" s="5">
        <f>B118-B115</f>
        <v>290453.54999999981</v>
      </c>
    </row>
    <row r="120" spans="1:3">
      <c r="A120" s="2">
        <v>45968</v>
      </c>
      <c r="B120" s="13">
        <v>4880963.47</v>
      </c>
    </row>
    <row r="121" spans="1:3">
      <c r="B121" s="13">
        <v>1442281.38</v>
      </c>
      <c r="C121" s="5">
        <f>B121-B118</f>
        <v>-25535.780000000028</v>
      </c>
    </row>
    <row r="123" spans="1:3">
      <c r="A123" s="2">
        <v>45971</v>
      </c>
      <c r="B123" s="13">
        <v>5381489</v>
      </c>
    </row>
    <row r="124" spans="1:3">
      <c r="B124" s="13">
        <v>1351733.57</v>
      </c>
      <c r="C124" s="5">
        <f>B124-B121</f>
        <v>-90547.809999999823</v>
      </c>
    </row>
    <row r="126" spans="1:3">
      <c r="A126" s="2">
        <v>45972</v>
      </c>
      <c r="B126" s="13">
        <v>5480845.3499999996</v>
      </c>
    </row>
    <row r="127" spans="1:3">
      <c r="B127" s="13">
        <v>1764676.98</v>
      </c>
      <c r="C127" s="5">
        <f>B127-B124</f>
        <v>412943.40999999992</v>
      </c>
    </row>
    <row r="129" spans="1:3">
      <c r="A129" s="2">
        <v>45973</v>
      </c>
      <c r="B129" s="13">
        <v>6180762.7199999997</v>
      </c>
    </row>
    <row r="130" spans="1:3">
      <c r="B130" s="13">
        <v>1315934.05</v>
      </c>
      <c r="C130" s="5">
        <f>B130-B127</f>
        <v>-448742.92999999993</v>
      </c>
    </row>
    <row r="132" spans="1:3">
      <c r="A132" s="2">
        <v>45974</v>
      </c>
      <c r="B132" s="13">
        <v>6240981.5999999996</v>
      </c>
    </row>
    <row r="133" spans="1:3">
      <c r="B133" s="13">
        <v>1434997.62</v>
      </c>
      <c r="C133" s="5">
        <f>B133-B130</f>
        <v>119063.57000000007</v>
      </c>
    </row>
    <row r="135" spans="1:3">
      <c r="A135" s="2">
        <v>45975</v>
      </c>
      <c r="B135" s="13">
        <v>6241837.04</v>
      </c>
    </row>
    <row r="136" spans="1:3">
      <c r="B136" s="13">
        <v>1397428.81</v>
      </c>
      <c r="C136" s="5">
        <f>B136-B133</f>
        <v>-37568.810000000056</v>
      </c>
    </row>
    <row r="138" spans="1:3">
      <c r="A138" s="2">
        <v>45978</v>
      </c>
      <c r="B138" s="13">
        <v>6247749.1129999999</v>
      </c>
    </row>
    <row r="139" spans="1:3">
      <c r="B139" s="13">
        <v>1532976.74</v>
      </c>
      <c r="C139" s="5">
        <f>B139-B136</f>
        <v>135547.92999999993</v>
      </c>
    </row>
    <row r="141" spans="1:3">
      <c r="A141" s="2">
        <v>45979</v>
      </c>
      <c r="B141" s="13">
        <v>6250104.4199999999</v>
      </c>
    </row>
    <row r="142" spans="1:3">
      <c r="B142" s="13">
        <v>1495657.33</v>
      </c>
      <c r="C142" s="5">
        <f>B142-B139</f>
        <v>-37319.409999999916</v>
      </c>
    </row>
    <row r="144" spans="1:3">
      <c r="A144" s="2">
        <v>45980</v>
      </c>
      <c r="B144" s="13">
        <v>6279183.7199999997</v>
      </c>
    </row>
    <row r="145" spans="1:3">
      <c r="B145" s="13">
        <v>1479120.71</v>
      </c>
      <c r="C145" s="5">
        <f>B145-B142</f>
        <v>-16536.620000000112</v>
      </c>
    </row>
    <row r="147" spans="1:3">
      <c r="A147" s="2">
        <v>45982</v>
      </c>
      <c r="B147" s="13">
        <v>6538736.0300000003</v>
      </c>
    </row>
    <row r="148" spans="1:3">
      <c r="B148" s="13">
        <v>1512948.96</v>
      </c>
      <c r="C148" s="5">
        <f>B148-B145</f>
        <v>33828.25</v>
      </c>
    </row>
    <row r="150" spans="1:3">
      <c r="A150" s="2">
        <v>45985</v>
      </c>
      <c r="B150" s="13">
        <v>6549131.9500000002</v>
      </c>
    </row>
    <row r="151" spans="1:3">
      <c r="B151" s="13">
        <v>1474081.65</v>
      </c>
      <c r="C151" s="5">
        <f>B151-B148</f>
        <v>-38867.310000000056</v>
      </c>
    </row>
    <row r="153" spans="1:3">
      <c r="A153" s="2">
        <v>45986</v>
      </c>
      <c r="B153" s="13">
        <v>6316840.6200000001</v>
      </c>
    </row>
    <row r="154" spans="1:3">
      <c r="B154" s="13">
        <v>1551889</v>
      </c>
      <c r="C154" s="5">
        <f>B154-B151</f>
        <v>77807.350000000093</v>
      </c>
    </row>
    <row r="156" spans="1:3">
      <c r="A156" s="2">
        <v>45987</v>
      </c>
      <c r="B156" s="13">
        <v>6316513.4000000004</v>
      </c>
    </row>
    <row r="157" spans="1:3">
      <c r="A157" t="s">
        <v>44</v>
      </c>
      <c r="B157" s="13">
        <v>1529944.13</v>
      </c>
      <c r="C157" s="5">
        <f>B157-B154</f>
        <v>-21944.870000000112</v>
      </c>
    </row>
    <row r="159" spans="1:3">
      <c r="A159" s="2">
        <v>45988</v>
      </c>
      <c r="B159" s="13">
        <v>6365860.7000000002</v>
      </c>
    </row>
    <row r="160" spans="1:3">
      <c r="B160" s="13">
        <v>1575352.99</v>
      </c>
      <c r="C160" s="5">
        <f>B160-B157</f>
        <v>45408.860000000102</v>
      </c>
    </row>
    <row r="162" spans="1:3">
      <c r="A162" s="2">
        <v>45989</v>
      </c>
      <c r="B162" s="13">
        <v>6372664.2699999996</v>
      </c>
    </row>
    <row r="163" spans="1:3">
      <c r="B163" s="13">
        <v>1855633.74</v>
      </c>
      <c r="C163" s="5">
        <f>B163-B160</f>
        <v>280280.75</v>
      </c>
    </row>
    <row r="165" spans="1:3">
      <c r="A165" s="2">
        <v>45991</v>
      </c>
      <c r="B165" s="13">
        <v>6373195.8499999996</v>
      </c>
    </row>
    <row r="166" spans="1:3">
      <c r="B166" s="13">
        <v>1778926.55</v>
      </c>
      <c r="C166" s="5">
        <f>B166-B163</f>
        <v>-76707.189999999944</v>
      </c>
    </row>
  </sheetData>
  <mergeCells count="2">
    <mergeCell ref="A48:B48"/>
    <mergeCell ref="A65:B6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90A0-1CE7-4FE3-9E9E-B4E87B15A42D}">
  <dimension ref="A1:U161"/>
  <sheetViews>
    <sheetView topLeftCell="A46" workbookViewId="0">
      <selection activeCell="A51" sqref="A51:D61"/>
    </sheetView>
  </sheetViews>
  <sheetFormatPr defaultRowHeight="15"/>
  <cols>
    <col min="1" max="1" width="16.28515625" customWidth="1"/>
    <col min="2" max="2" width="24.28515625" bestFit="1" customWidth="1"/>
    <col min="3" max="3" width="15.5703125" bestFit="1" customWidth="1"/>
    <col min="4" max="4" width="11.42578125" bestFit="1" customWidth="1"/>
    <col min="5" max="5" width="19.7109375" bestFit="1" customWidth="1"/>
    <col min="20" max="20" width="42.42578125" bestFit="1" customWidth="1"/>
  </cols>
  <sheetData>
    <row r="1" spans="2:21">
      <c r="B1" s="7" t="s">
        <v>0</v>
      </c>
      <c r="C1" s="6" t="s">
        <v>1</v>
      </c>
      <c r="T1" s="7" t="s">
        <v>45</v>
      </c>
      <c r="U1" s="6" t="s">
        <v>1</v>
      </c>
    </row>
    <row r="2" spans="2:21">
      <c r="B2" t="s">
        <v>2</v>
      </c>
      <c r="C2" s="9">
        <v>1.3599999999999999E-2</v>
      </c>
      <c r="T2" t="s">
        <v>30</v>
      </c>
      <c r="U2" s="9">
        <v>3.49E-2</v>
      </c>
    </row>
    <row r="3" spans="2:21">
      <c r="B3" t="s">
        <v>3</v>
      </c>
      <c r="C3" s="9">
        <v>9.4299999999999995E-2</v>
      </c>
      <c r="T3" t="s">
        <v>46</v>
      </c>
      <c r="U3" s="9">
        <v>5.8500000000000003E-2</v>
      </c>
    </row>
    <row r="4" spans="2:21">
      <c r="B4" t="s">
        <v>4</v>
      </c>
      <c r="C4" s="9">
        <v>6.1899999999999997E-2</v>
      </c>
      <c r="T4" t="s">
        <v>47</v>
      </c>
      <c r="U4" s="9">
        <v>0.19309999999999999</v>
      </c>
    </row>
    <row r="5" spans="2:21">
      <c r="B5" t="s">
        <v>5</v>
      </c>
      <c r="C5" s="9">
        <v>9.2999999999999999E-2</v>
      </c>
      <c r="T5" t="s">
        <v>48</v>
      </c>
      <c r="U5" s="9">
        <v>0.32379999999999998</v>
      </c>
    </row>
    <row r="6" spans="2:21">
      <c r="B6" t="s">
        <v>6</v>
      </c>
      <c r="C6" s="9">
        <v>9.2899999999999996E-2</v>
      </c>
      <c r="T6" t="s">
        <v>49</v>
      </c>
      <c r="U6" s="9">
        <v>0.1457</v>
      </c>
    </row>
    <row r="7" spans="2:21">
      <c r="B7" t="s">
        <v>30</v>
      </c>
      <c r="C7" s="9">
        <v>0.1636</v>
      </c>
      <c r="M7" s="10"/>
      <c r="U7" s="9"/>
    </row>
    <row r="8" spans="2:21">
      <c r="B8" t="s">
        <v>19</v>
      </c>
      <c r="C8" s="9">
        <v>0.17150000000000001</v>
      </c>
      <c r="T8" t="s">
        <v>7</v>
      </c>
      <c r="U8" s="9">
        <v>0.1512</v>
      </c>
    </row>
    <row r="9" spans="2:21">
      <c r="B9" t="s">
        <v>20</v>
      </c>
      <c r="C9" s="9">
        <v>0.20180000000000001</v>
      </c>
    </row>
    <row r="10" spans="2:21">
      <c r="B10" t="s">
        <v>36</v>
      </c>
      <c r="C10" s="9">
        <v>0.27560000000000001</v>
      </c>
    </row>
    <row r="11" spans="2:21">
      <c r="B11" t="s">
        <v>50</v>
      </c>
      <c r="C11" s="9">
        <v>0.46939999999999998</v>
      </c>
    </row>
    <row r="12" spans="2:21">
      <c r="C12" s="9"/>
    </row>
    <row r="13" spans="2:21">
      <c r="B13" t="s">
        <v>7</v>
      </c>
      <c r="C13" s="9">
        <v>0.1638</v>
      </c>
    </row>
    <row r="27" spans="2:3">
      <c r="B27" s="7" t="s">
        <v>39</v>
      </c>
    </row>
    <row r="28" spans="2:3">
      <c r="B28" s="7" t="s">
        <v>9</v>
      </c>
      <c r="C28" s="7" t="s">
        <v>10</v>
      </c>
    </row>
    <row r="29" spans="2:3">
      <c r="B29" s="1">
        <v>1869151.81</v>
      </c>
      <c r="C29" s="2">
        <v>45993</v>
      </c>
    </row>
    <row r="30" spans="2:3">
      <c r="B30" s="1">
        <v>1949993.49</v>
      </c>
      <c r="C30" s="2">
        <v>45994</v>
      </c>
    </row>
    <row r="31" spans="2:3">
      <c r="B31" s="1">
        <v>1883346.98</v>
      </c>
      <c r="C31" s="2">
        <v>45995</v>
      </c>
    </row>
    <row r="32" spans="2:3">
      <c r="B32" s="1">
        <v>1911502.25</v>
      </c>
      <c r="C32" s="2">
        <v>45996</v>
      </c>
    </row>
    <row r="33" spans="2:3">
      <c r="B33" s="1">
        <v>1866327.97</v>
      </c>
      <c r="C33" s="2">
        <v>45999</v>
      </c>
    </row>
    <row r="34" spans="2:3">
      <c r="B34" s="1">
        <v>1972025.25</v>
      </c>
      <c r="C34" s="2">
        <v>46000</v>
      </c>
    </row>
    <row r="35" spans="2:3">
      <c r="B35" s="1">
        <v>2038030.13</v>
      </c>
      <c r="C35" s="2">
        <v>46001</v>
      </c>
    </row>
    <row r="36" spans="2:3">
      <c r="B36" s="1">
        <v>2091167.27</v>
      </c>
      <c r="C36" s="2">
        <v>46002</v>
      </c>
    </row>
    <row r="37" spans="2:3">
      <c r="B37" s="1">
        <v>1977054.19</v>
      </c>
      <c r="C37" s="2">
        <v>46003</v>
      </c>
    </row>
    <row r="38" spans="2:3">
      <c r="B38" s="1">
        <v>1926310.42</v>
      </c>
      <c r="C38" s="2">
        <v>46006</v>
      </c>
    </row>
    <row r="39" spans="2:3">
      <c r="B39" s="1">
        <v>2141803.09</v>
      </c>
      <c r="C39" s="2">
        <v>46007</v>
      </c>
    </row>
    <row r="40" spans="2:3">
      <c r="B40" s="1">
        <v>2156410.4900000002</v>
      </c>
      <c r="C40" s="2">
        <v>46008</v>
      </c>
    </row>
    <row r="41" spans="2:3">
      <c r="B41" s="1">
        <v>2174189.5299999998</v>
      </c>
      <c r="C41" s="2">
        <v>46009</v>
      </c>
    </row>
    <row r="42" spans="2:3">
      <c r="B42" s="1">
        <v>2180780.48</v>
      </c>
      <c r="C42" s="2">
        <v>46010</v>
      </c>
    </row>
    <row r="43" spans="2:3">
      <c r="B43" s="1">
        <v>2130505.48</v>
      </c>
      <c r="C43" s="2">
        <v>46013</v>
      </c>
    </row>
    <row r="44" spans="2:3">
      <c r="B44" s="1">
        <v>2729895.13</v>
      </c>
      <c r="C44" s="2">
        <v>46014</v>
      </c>
    </row>
    <row r="45" spans="2:3">
      <c r="B45" s="1">
        <v>2585227.3199999998</v>
      </c>
      <c r="C45" s="2">
        <v>46020</v>
      </c>
    </row>
    <row r="46" spans="2:3">
      <c r="B46" s="1">
        <v>2738739.6</v>
      </c>
      <c r="C46" s="2">
        <v>46021</v>
      </c>
    </row>
    <row r="47" spans="2:3">
      <c r="B47" s="1"/>
      <c r="C47" s="2"/>
    </row>
    <row r="48" spans="2:3">
      <c r="B48" s="1"/>
      <c r="C48" s="2"/>
    </row>
    <row r="50" spans="1:4" ht="15" customHeight="1">
      <c r="A50" s="59" t="s">
        <v>40</v>
      </c>
      <c r="B50" s="59"/>
      <c r="C50" s="59"/>
      <c r="D50" s="59"/>
    </row>
    <row r="51" spans="1:4">
      <c r="A51" t="s">
        <v>41</v>
      </c>
      <c r="B51" t="s">
        <v>11</v>
      </c>
      <c r="C51" t="s">
        <v>12</v>
      </c>
      <c r="D51" t="s">
        <v>1</v>
      </c>
    </row>
    <row r="52" spans="1:4">
      <c r="A52" s="18">
        <v>45717</v>
      </c>
      <c r="B52" s="5">
        <v>13135.81</v>
      </c>
      <c r="C52" s="5">
        <v>178.12</v>
      </c>
      <c r="D52" s="10">
        <f t="shared" ref="D52:D61" si="0">C52/B52</f>
        <v>1.3559879444054079E-2</v>
      </c>
    </row>
    <row r="53" spans="1:4">
      <c r="A53" s="18">
        <v>45748</v>
      </c>
      <c r="B53" s="5">
        <v>104904.72</v>
      </c>
      <c r="C53" s="5">
        <v>9896.1299999999992</v>
      </c>
      <c r="D53" s="10">
        <f t="shared" si="0"/>
        <v>9.433445892615698E-2</v>
      </c>
    </row>
    <row r="54" spans="1:4">
      <c r="A54" s="18">
        <v>45778</v>
      </c>
      <c r="B54" s="5">
        <v>115221.56</v>
      </c>
      <c r="C54" s="5">
        <v>7128.95</v>
      </c>
      <c r="D54" s="10">
        <f t="shared" si="0"/>
        <v>6.1871667073419248E-2</v>
      </c>
    </row>
    <row r="55" spans="1:4">
      <c r="A55" s="18">
        <v>45809</v>
      </c>
      <c r="B55" s="5">
        <v>228348.86</v>
      </c>
      <c r="C55" s="5">
        <v>21232.74</v>
      </c>
      <c r="D55" s="10">
        <f t="shared" si="0"/>
        <v>9.2983779292789129E-2</v>
      </c>
    </row>
    <row r="56" spans="1:4">
      <c r="A56" s="18">
        <v>45839</v>
      </c>
      <c r="B56" s="5">
        <v>385626.33</v>
      </c>
      <c r="C56" s="5">
        <v>35812.879999999997</v>
      </c>
      <c r="D56" s="10">
        <f t="shared" si="0"/>
        <v>9.2869384722770343E-2</v>
      </c>
    </row>
    <row r="57" spans="1:4">
      <c r="A57" s="18">
        <v>45870</v>
      </c>
      <c r="B57" s="5">
        <v>353974.52</v>
      </c>
      <c r="C57" s="5">
        <v>57904.02</v>
      </c>
      <c r="D57" s="10">
        <f t="shared" si="0"/>
        <v>0.16358245220588191</v>
      </c>
    </row>
    <row r="58" spans="1:4">
      <c r="A58" s="18">
        <v>45901</v>
      </c>
      <c r="B58" s="5">
        <v>964347.28</v>
      </c>
      <c r="C58" s="5">
        <v>165426.82</v>
      </c>
      <c r="D58" s="10">
        <f t="shared" si="0"/>
        <v>0.17154278695119046</v>
      </c>
    </row>
    <row r="59" spans="1:4">
      <c r="A59" s="18">
        <v>45931</v>
      </c>
      <c r="B59" s="5">
        <v>1610234.62</v>
      </c>
      <c r="C59" s="5">
        <v>324916.81</v>
      </c>
      <c r="D59" s="10">
        <f t="shared" si="0"/>
        <v>0.20178227816266922</v>
      </c>
    </row>
    <row r="60" spans="1:4">
      <c r="A60" s="18">
        <v>45962</v>
      </c>
      <c r="B60" s="5">
        <v>2241199.75</v>
      </c>
      <c r="C60" s="5">
        <v>617633.9</v>
      </c>
      <c r="D60" s="10">
        <f t="shared" si="0"/>
        <v>0.27558181728335462</v>
      </c>
    </row>
    <row r="61" spans="1:4">
      <c r="A61" s="18">
        <v>45992</v>
      </c>
      <c r="B61" s="5">
        <v>3192508.23</v>
      </c>
      <c r="C61" s="5">
        <v>1498609.23</v>
      </c>
      <c r="D61" s="10">
        <f t="shared" si="0"/>
        <v>0.46941436702263412</v>
      </c>
    </row>
    <row r="62" spans="1:4">
      <c r="A62" s="18"/>
      <c r="B62" s="5"/>
      <c r="C62" s="5"/>
      <c r="D62" s="10"/>
    </row>
    <row r="63" spans="1:4">
      <c r="A63" s="18"/>
      <c r="B63" s="5"/>
      <c r="C63" s="5"/>
      <c r="D63" s="10"/>
    </row>
    <row r="64" spans="1:4">
      <c r="A64" s="24" t="s">
        <v>42</v>
      </c>
      <c r="B64" s="20">
        <f>SUM(B52:B63)</f>
        <v>9209501.6799999997</v>
      </c>
      <c r="C64" s="20">
        <f>SUM(C52:C63)</f>
        <v>2738739.6</v>
      </c>
      <c r="D64" s="23">
        <f>C64/B64</f>
        <v>0.29738195346091734</v>
      </c>
    </row>
    <row r="67" spans="1:4" ht="15" customHeight="1">
      <c r="A67" s="59" t="s">
        <v>43</v>
      </c>
      <c r="B67" s="59"/>
    </row>
    <row r="68" spans="1:4">
      <c r="A68" t="s">
        <v>41</v>
      </c>
      <c r="B68" t="s">
        <v>11</v>
      </c>
      <c r="C68" t="s">
        <v>12</v>
      </c>
      <c r="D68" t="s">
        <v>1</v>
      </c>
    </row>
    <row r="69" spans="1:4">
      <c r="A69" s="18">
        <v>45870</v>
      </c>
      <c r="B69" s="5">
        <v>10316.61</v>
      </c>
      <c r="C69" s="5">
        <v>360.05</v>
      </c>
      <c r="D69" s="10">
        <f>C69/B69</f>
        <v>3.4900030145561381E-2</v>
      </c>
    </row>
    <row r="70" spans="1:4">
      <c r="A70" s="18">
        <v>45901</v>
      </c>
      <c r="B70" s="5">
        <v>63710.400000000001</v>
      </c>
      <c r="C70" s="5">
        <v>2677.03</v>
      </c>
      <c r="D70" s="10">
        <f>C70/B70</f>
        <v>4.2018728496446424E-2</v>
      </c>
    </row>
    <row r="71" spans="1:4">
      <c r="A71" s="18">
        <v>45931</v>
      </c>
      <c r="B71" s="5">
        <v>148437.84</v>
      </c>
      <c r="C71" s="5">
        <v>26215.39</v>
      </c>
      <c r="D71" s="10">
        <f>C71/B71</f>
        <v>0.17660853863138942</v>
      </c>
    </row>
    <row r="72" spans="1:4">
      <c r="A72" s="18">
        <v>45962</v>
      </c>
      <c r="B72" s="5">
        <v>200669.77</v>
      </c>
      <c r="C72" s="5">
        <v>48404.32</v>
      </c>
      <c r="D72" s="10">
        <f>C72/B72</f>
        <v>0.24121381112860199</v>
      </c>
    </row>
    <row r="73" spans="1:4">
      <c r="A73" s="18">
        <v>45992</v>
      </c>
      <c r="B73" s="5">
        <v>412587.9</v>
      </c>
      <c r="C73" s="5">
        <v>186310.13</v>
      </c>
      <c r="D73" s="10">
        <f>C73/B73</f>
        <v>0.45156469688034961</v>
      </c>
    </row>
    <row r="75" spans="1:4">
      <c r="A75" s="8" t="s">
        <v>42</v>
      </c>
      <c r="B75" s="20">
        <f>SUM(B69:B74)</f>
        <v>835722.52</v>
      </c>
      <c r="C75" s="20">
        <f>SUM(C69:C74)</f>
        <v>263966.92000000004</v>
      </c>
      <c r="D75" s="23">
        <f>C75/B75</f>
        <v>0.31585474087739079</v>
      </c>
    </row>
    <row r="82" spans="2:4">
      <c r="B82" s="9" t="s">
        <v>32</v>
      </c>
      <c r="C82" s="9" t="s">
        <v>33</v>
      </c>
      <c r="D82" s="9" t="s">
        <v>10</v>
      </c>
    </row>
    <row r="83" spans="2:4">
      <c r="B83">
        <v>19211</v>
      </c>
      <c r="C83">
        <v>3036</v>
      </c>
      <c r="D83" s="2">
        <v>45994</v>
      </c>
    </row>
    <row r="84" spans="2:4">
      <c r="B84">
        <v>19406</v>
      </c>
      <c r="C84">
        <v>4747</v>
      </c>
      <c r="D84" s="2">
        <v>45995</v>
      </c>
    </row>
    <row r="85" spans="2:4">
      <c r="B85">
        <v>19602</v>
      </c>
      <c r="C85">
        <v>4767</v>
      </c>
      <c r="D85" s="2">
        <v>45996</v>
      </c>
    </row>
    <row r="86" spans="2:4">
      <c r="B86">
        <v>19938</v>
      </c>
      <c r="C86">
        <v>4640</v>
      </c>
      <c r="D86" s="2">
        <v>45999</v>
      </c>
    </row>
    <row r="87" spans="2:4">
      <c r="B87">
        <v>20274</v>
      </c>
      <c r="C87">
        <v>4788</v>
      </c>
      <c r="D87" s="2">
        <v>46000</v>
      </c>
    </row>
    <row r="88" spans="2:4">
      <c r="B88">
        <v>20424</v>
      </c>
      <c r="C88">
        <v>4887</v>
      </c>
      <c r="D88" s="2">
        <v>46001</v>
      </c>
    </row>
    <row r="89" spans="2:4">
      <c r="B89">
        <v>20597</v>
      </c>
      <c r="C89">
        <v>5080</v>
      </c>
      <c r="D89" s="2">
        <v>46002</v>
      </c>
    </row>
    <row r="90" spans="2:4">
      <c r="B90">
        <v>20635</v>
      </c>
      <c r="C90">
        <v>4830</v>
      </c>
      <c r="D90" s="2">
        <v>46003</v>
      </c>
    </row>
    <row r="91" spans="2:4">
      <c r="B91">
        <v>20693</v>
      </c>
      <c r="C91">
        <v>4732</v>
      </c>
      <c r="D91" s="2">
        <v>46006</v>
      </c>
    </row>
    <row r="92" spans="2:4">
      <c r="B92">
        <v>20747</v>
      </c>
      <c r="C92">
        <v>5060</v>
      </c>
      <c r="D92" s="2">
        <v>46007</v>
      </c>
    </row>
    <row r="93" spans="2:4">
      <c r="B93">
        <v>20768</v>
      </c>
      <c r="C93">
        <v>5046</v>
      </c>
      <c r="D93" s="2">
        <v>46008</v>
      </c>
    </row>
    <row r="94" spans="2:4">
      <c r="B94">
        <v>20776</v>
      </c>
      <c r="C94">
        <v>5113</v>
      </c>
      <c r="D94" s="2">
        <v>46009</v>
      </c>
    </row>
    <row r="95" spans="2:4">
      <c r="B95">
        <v>20823</v>
      </c>
      <c r="C95">
        <v>5158</v>
      </c>
      <c r="D95" s="2">
        <v>46010</v>
      </c>
    </row>
    <row r="96" spans="2:4">
      <c r="B96">
        <v>20931</v>
      </c>
      <c r="C96">
        <v>5020</v>
      </c>
      <c r="D96" s="2">
        <v>46013</v>
      </c>
    </row>
    <row r="97" spans="1:5">
      <c r="B97">
        <v>20937</v>
      </c>
      <c r="C97">
        <v>5972</v>
      </c>
      <c r="D97" s="2">
        <v>46014</v>
      </c>
    </row>
    <row r="98" spans="1:5">
      <c r="B98">
        <v>20952</v>
      </c>
      <c r="C98">
        <v>5762</v>
      </c>
      <c r="D98" s="2">
        <v>46020</v>
      </c>
    </row>
    <row r="99" spans="1:5">
      <c r="B99">
        <v>20890</v>
      </c>
      <c r="C99">
        <v>6019</v>
      </c>
      <c r="D99" s="2">
        <v>46021</v>
      </c>
    </row>
    <row r="100" spans="1:5">
      <c r="D100" s="25" t="s">
        <v>17</v>
      </c>
      <c r="E100" s="25" t="s">
        <v>16</v>
      </c>
    </row>
    <row r="106" spans="1:5">
      <c r="A106" s="2">
        <v>45991</v>
      </c>
      <c r="B106" s="26">
        <v>6373195.8499999996</v>
      </c>
    </row>
    <row r="107" spans="1:5">
      <c r="B107" s="26">
        <v>1778926.55</v>
      </c>
    </row>
    <row r="108" spans="1:5">
      <c r="B108" s="26"/>
    </row>
    <row r="109" spans="1:5">
      <c r="A109" s="2">
        <v>45992</v>
      </c>
      <c r="B109" s="26">
        <v>8255008.04</v>
      </c>
      <c r="D109" s="26"/>
      <c r="E109" s="27"/>
    </row>
    <row r="110" spans="1:5">
      <c r="B110" s="26">
        <v>1869151.81</v>
      </c>
      <c r="C110" s="29">
        <f>B110-B107</f>
        <v>90225.260000000009</v>
      </c>
      <c r="D110" s="26"/>
      <c r="E110" s="28"/>
    </row>
    <row r="112" spans="1:5">
      <c r="A112" s="2">
        <v>45993</v>
      </c>
      <c r="B112" s="13">
        <v>8255008.04</v>
      </c>
    </row>
    <row r="113" spans="1:3">
      <c r="B113" s="13">
        <v>1883346.98</v>
      </c>
      <c r="C113" s="29">
        <f>B113-B110</f>
        <v>14195.169999999925</v>
      </c>
    </row>
    <row r="115" spans="1:3">
      <c r="A115" s="2">
        <v>45994</v>
      </c>
      <c r="B115" s="13">
        <v>8268399.5999999996</v>
      </c>
    </row>
    <row r="116" spans="1:3">
      <c r="B116" s="13">
        <v>1886723.82</v>
      </c>
      <c r="C116" s="5">
        <f>B116-B113</f>
        <v>3376.8400000000838</v>
      </c>
    </row>
    <row r="118" spans="1:3">
      <c r="A118" s="2">
        <v>45995</v>
      </c>
      <c r="B118" s="13">
        <v>8393438.9700000007</v>
      </c>
    </row>
    <row r="119" spans="1:3">
      <c r="B119" s="13">
        <v>1911502.25</v>
      </c>
      <c r="C119" s="5">
        <f>B119-B116</f>
        <v>24778.429999999935</v>
      </c>
    </row>
    <row r="121" spans="1:3">
      <c r="A121" s="2">
        <v>45996</v>
      </c>
      <c r="B121" s="13">
        <v>8536660.7799999993</v>
      </c>
    </row>
    <row r="122" spans="1:3">
      <c r="B122" s="13">
        <v>1866327.97</v>
      </c>
      <c r="C122" s="5">
        <f>B122-B119</f>
        <v>-45174.280000000028</v>
      </c>
    </row>
    <row r="124" spans="1:3">
      <c r="A124" s="2">
        <v>45999</v>
      </c>
      <c r="B124" s="13">
        <v>8833136.6999999993</v>
      </c>
    </row>
    <row r="125" spans="1:3">
      <c r="B125" s="20">
        <v>1971965.25</v>
      </c>
      <c r="C125" s="5">
        <f>B125-B122</f>
        <v>105637.28000000003</v>
      </c>
    </row>
    <row r="127" spans="1:3">
      <c r="A127" s="2">
        <v>46001</v>
      </c>
      <c r="B127" s="13">
        <v>8919833.1300000008</v>
      </c>
      <c r="C127" s="5"/>
    </row>
    <row r="128" spans="1:3">
      <c r="B128" s="20">
        <v>2038030.13</v>
      </c>
      <c r="C128" s="5">
        <f>B128-B125</f>
        <v>66064.879999999888</v>
      </c>
    </row>
    <row r="130" spans="1:3">
      <c r="A130" s="2">
        <v>46002</v>
      </c>
      <c r="B130" s="13">
        <v>8997749.5700000003</v>
      </c>
    </row>
    <row r="131" spans="1:3">
      <c r="B131" s="20">
        <v>2091167.27</v>
      </c>
      <c r="C131" s="5">
        <f>B131-B128</f>
        <v>53137.14000000013</v>
      </c>
    </row>
    <row r="133" spans="1:3">
      <c r="A133" s="2">
        <v>46003</v>
      </c>
      <c r="B133" s="13">
        <v>9007542.8200000003</v>
      </c>
    </row>
    <row r="134" spans="1:3">
      <c r="B134" s="20">
        <v>1977054.19</v>
      </c>
      <c r="C134" s="5">
        <f>B134-B131</f>
        <v>-114113.08000000007</v>
      </c>
    </row>
    <row r="136" spans="1:3">
      <c r="A136" s="2">
        <v>46006</v>
      </c>
      <c r="B136" s="13">
        <v>9059916.0700000003</v>
      </c>
    </row>
    <row r="137" spans="1:3">
      <c r="B137" s="20">
        <v>1926310.42</v>
      </c>
      <c r="C137" s="5">
        <f>B137-B134</f>
        <v>-50743.770000000019</v>
      </c>
    </row>
    <row r="139" spans="1:3">
      <c r="A139" s="2">
        <v>46007</v>
      </c>
      <c r="B139" s="13">
        <v>9066186.4199999999</v>
      </c>
    </row>
    <row r="140" spans="1:3">
      <c r="B140" s="20">
        <v>2141803.09</v>
      </c>
      <c r="C140" s="5">
        <f>B140-B137</f>
        <v>215492.66999999993</v>
      </c>
    </row>
    <row r="142" spans="1:3">
      <c r="A142" s="2">
        <v>46008</v>
      </c>
      <c r="B142" s="13">
        <v>9076018.9000000004</v>
      </c>
    </row>
    <row r="143" spans="1:3">
      <c r="B143" s="20">
        <v>2156410.4900000002</v>
      </c>
      <c r="C143" s="5">
        <f>B143-B140</f>
        <v>14607.400000000373</v>
      </c>
    </row>
    <row r="145" spans="1:3">
      <c r="A145" s="2">
        <v>46009</v>
      </c>
      <c r="B145" s="13">
        <v>9084149.1400000006</v>
      </c>
    </row>
    <row r="146" spans="1:3">
      <c r="B146" s="20">
        <v>2174189.5299999998</v>
      </c>
      <c r="C146" s="5">
        <f>B146-B143</f>
        <v>17779.039999999572</v>
      </c>
    </row>
    <row r="148" spans="1:3">
      <c r="A148" s="2">
        <v>46010</v>
      </c>
      <c r="B148" s="13">
        <v>9119350.6899999995</v>
      </c>
    </row>
    <row r="149" spans="1:3">
      <c r="B149" s="20">
        <v>2180780.48</v>
      </c>
      <c r="C149" s="5">
        <f>B149-B146</f>
        <v>6590.9500000001863</v>
      </c>
    </row>
    <row r="151" spans="1:3">
      <c r="A151" s="2">
        <v>46013</v>
      </c>
      <c r="B151" s="13">
        <v>9217310.75</v>
      </c>
    </row>
    <row r="152" spans="1:3">
      <c r="B152" s="20">
        <v>2108518.02</v>
      </c>
      <c r="C152" s="5">
        <f>B152-B149</f>
        <v>-72262.459999999963</v>
      </c>
    </row>
    <row r="154" spans="1:3">
      <c r="A154" s="2">
        <v>46014</v>
      </c>
      <c r="B154" s="13">
        <v>9219708.3800000008</v>
      </c>
    </row>
    <row r="155" spans="1:3">
      <c r="B155" s="20">
        <v>2729895.13</v>
      </c>
      <c r="C155" s="5">
        <f>B155-B152</f>
        <v>621377.10999999987</v>
      </c>
    </row>
    <row r="157" spans="1:3">
      <c r="A157" s="2">
        <v>46020</v>
      </c>
      <c r="B157" s="26">
        <v>9234049.9199999999</v>
      </c>
    </row>
    <row r="158" spans="1:3">
      <c r="B158" s="20">
        <v>2585227.3199999998</v>
      </c>
      <c r="C158" s="5">
        <f>B158-B155</f>
        <v>-144667.81000000006</v>
      </c>
    </row>
    <row r="160" spans="1:3">
      <c r="A160" s="2">
        <v>46021</v>
      </c>
      <c r="B160" s="26">
        <v>9209501.6799999997</v>
      </c>
    </row>
    <row r="161" spans="2:3">
      <c r="B161" s="20">
        <v>2738739.6</v>
      </c>
      <c r="C161" s="5">
        <f>B161-B158</f>
        <v>153512.28000000026</v>
      </c>
    </row>
  </sheetData>
  <mergeCells count="2">
    <mergeCell ref="A50:D50"/>
    <mergeCell ref="A67:B6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2865-DC34-4C73-8784-586FBA668EAA}">
  <dimension ref="A1:U152"/>
  <sheetViews>
    <sheetView topLeftCell="A49" workbookViewId="0">
      <selection activeCell="C57" sqref="C57"/>
    </sheetView>
  </sheetViews>
  <sheetFormatPr defaultRowHeight="15"/>
  <cols>
    <col min="1" max="1" width="16.28515625" customWidth="1"/>
    <col min="2" max="2" width="24.28515625" bestFit="1" customWidth="1"/>
    <col min="3" max="3" width="15.5703125" bestFit="1" customWidth="1"/>
    <col min="4" max="4" width="11.42578125" bestFit="1" customWidth="1"/>
    <col min="5" max="5" width="19.7109375" bestFit="1" customWidth="1"/>
    <col min="20" max="20" width="42.42578125" bestFit="1" customWidth="1"/>
  </cols>
  <sheetData>
    <row r="1" spans="2:21">
      <c r="B1" s="7" t="s">
        <v>0</v>
      </c>
      <c r="C1" s="6" t="s">
        <v>1</v>
      </c>
      <c r="T1" s="7" t="s">
        <v>45</v>
      </c>
      <c r="U1" s="6" t="s">
        <v>1</v>
      </c>
    </row>
    <row r="2" spans="2:21">
      <c r="B2" t="s">
        <v>51</v>
      </c>
      <c r="C2" s="9">
        <v>0.26769999999999999</v>
      </c>
      <c r="T2" t="s">
        <v>30</v>
      </c>
      <c r="U2" s="9">
        <v>3.49E-2</v>
      </c>
    </row>
    <row r="3" spans="2:21">
      <c r="B3" t="s">
        <v>52</v>
      </c>
      <c r="C3" s="9">
        <v>0.31280000000000002</v>
      </c>
      <c r="T3" t="s">
        <v>46</v>
      </c>
      <c r="U3" s="9">
        <v>5.8500000000000003E-2</v>
      </c>
    </row>
    <row r="4" spans="2:21">
      <c r="B4" t="s">
        <v>53</v>
      </c>
      <c r="C4" s="9">
        <v>0.45279999999999998</v>
      </c>
      <c r="T4" t="s">
        <v>47</v>
      </c>
      <c r="U4" s="9">
        <v>0.19309999999999999</v>
      </c>
    </row>
    <row r="5" spans="2:21">
      <c r="B5" t="s">
        <v>54</v>
      </c>
      <c r="C5" s="9">
        <v>0.53410000000000002</v>
      </c>
      <c r="T5" t="s">
        <v>48</v>
      </c>
      <c r="U5" s="9">
        <v>0.32379999999999998</v>
      </c>
    </row>
    <row r="6" spans="2:21">
      <c r="B6" t="s">
        <v>55</v>
      </c>
      <c r="C6" s="9"/>
      <c r="T6" t="s">
        <v>49</v>
      </c>
      <c r="U6" s="9">
        <v>0.1457</v>
      </c>
    </row>
    <row r="7" spans="2:21">
      <c r="B7" t="s">
        <v>56</v>
      </c>
      <c r="C7" s="9"/>
      <c r="M7" s="10"/>
      <c r="U7" s="9"/>
    </row>
    <row r="8" spans="2:21">
      <c r="B8" t="s">
        <v>57</v>
      </c>
      <c r="C8" s="9"/>
      <c r="T8" t="s">
        <v>7</v>
      </c>
      <c r="U8" s="9">
        <v>0.1512</v>
      </c>
    </row>
    <row r="9" spans="2:21">
      <c r="B9" t="s">
        <v>58</v>
      </c>
      <c r="C9" s="9"/>
    </row>
    <row r="10" spans="2:21">
      <c r="B10" t="s">
        <v>19</v>
      </c>
      <c r="C10" s="9"/>
    </row>
    <row r="11" spans="2:21">
      <c r="B11" t="s">
        <v>20</v>
      </c>
      <c r="C11" s="9"/>
    </row>
    <row r="12" spans="2:21">
      <c r="C12" s="9"/>
    </row>
    <row r="13" spans="2:21">
      <c r="B13" t="s">
        <v>7</v>
      </c>
      <c r="C13" s="9">
        <v>0.28289999999999998</v>
      </c>
    </row>
    <row r="27" spans="2:3">
      <c r="B27" s="7" t="s">
        <v>39</v>
      </c>
    </row>
    <row r="28" spans="2:3">
      <c r="B28" s="7" t="s">
        <v>9</v>
      </c>
      <c r="C28" s="7" t="s">
        <v>10</v>
      </c>
    </row>
    <row r="29" spans="2:3">
      <c r="B29" s="1">
        <v>2727579.84</v>
      </c>
      <c r="C29" s="2">
        <v>46027</v>
      </c>
    </row>
    <row r="30" spans="2:3">
      <c r="B30" s="1">
        <v>2798268.03</v>
      </c>
      <c r="C30" s="2">
        <v>46028</v>
      </c>
    </row>
    <row r="31" spans="2:3">
      <c r="B31" s="1">
        <v>2863725.32</v>
      </c>
      <c r="C31" s="2">
        <v>46029</v>
      </c>
    </row>
    <row r="32" spans="2:3">
      <c r="B32" s="1">
        <v>2910670.73</v>
      </c>
      <c r="C32" s="2">
        <v>46030</v>
      </c>
    </row>
    <row r="33" spans="2:3">
      <c r="B33" s="1">
        <v>2946688.75</v>
      </c>
      <c r="C33" s="2">
        <v>46031</v>
      </c>
    </row>
    <row r="34" spans="2:3">
      <c r="B34" s="1"/>
      <c r="C34" s="2">
        <v>46032</v>
      </c>
    </row>
    <row r="35" spans="2:3">
      <c r="B35" s="1">
        <v>2987013.59</v>
      </c>
      <c r="C35" s="2">
        <v>46034</v>
      </c>
    </row>
    <row r="36" spans="2:3">
      <c r="B36" s="1">
        <v>2995235.81</v>
      </c>
      <c r="C36" s="2">
        <v>46035</v>
      </c>
    </row>
    <row r="37" spans="2:3">
      <c r="B37" s="1">
        <v>2987013.59</v>
      </c>
      <c r="C37" s="2">
        <v>46036</v>
      </c>
    </row>
    <row r="38" spans="2:3">
      <c r="B38" s="1">
        <v>2933114.11</v>
      </c>
      <c r="C38" s="2">
        <v>46037</v>
      </c>
    </row>
    <row r="39" spans="2:3">
      <c r="B39" s="1">
        <v>2878289.25</v>
      </c>
      <c r="C39" s="2">
        <v>46038</v>
      </c>
    </row>
    <row r="40" spans="2:3">
      <c r="B40" s="1"/>
      <c r="C40" s="2">
        <v>46041</v>
      </c>
    </row>
    <row r="41" spans="2:3">
      <c r="B41" s="1">
        <v>2995996.63</v>
      </c>
      <c r="C41" s="2">
        <v>46042</v>
      </c>
    </row>
    <row r="42" spans="2:3">
      <c r="B42" s="1"/>
      <c r="C42" s="2">
        <v>46043</v>
      </c>
    </row>
    <row r="43" spans="2:3">
      <c r="B43" s="1"/>
      <c r="C43" s="2">
        <v>46044</v>
      </c>
    </row>
    <row r="44" spans="2:3">
      <c r="B44" s="1">
        <v>3235071.13</v>
      </c>
      <c r="C44" s="2">
        <v>46048</v>
      </c>
    </row>
    <row r="45" spans="2:3">
      <c r="B45" s="1"/>
      <c r="C45" s="2">
        <v>46049</v>
      </c>
    </row>
    <row r="46" spans="2:3">
      <c r="B46" s="1"/>
      <c r="C46" s="2">
        <v>46050</v>
      </c>
    </row>
    <row r="47" spans="2:3">
      <c r="B47" s="1"/>
      <c r="C47" s="2">
        <v>46051</v>
      </c>
    </row>
    <row r="48" spans="2:3">
      <c r="B48" s="1"/>
      <c r="C48" s="2">
        <v>46052</v>
      </c>
    </row>
    <row r="53" spans="1:4" ht="15" customHeight="1">
      <c r="A53" s="59" t="s">
        <v>40</v>
      </c>
      <c r="B53" s="59"/>
      <c r="C53" s="59"/>
      <c r="D53" s="59"/>
    </row>
    <row r="54" spans="1:4">
      <c r="A54" t="s">
        <v>41</v>
      </c>
      <c r="B54" t="s">
        <v>11</v>
      </c>
      <c r="C54" t="s">
        <v>12</v>
      </c>
      <c r="D54" t="s">
        <v>1</v>
      </c>
    </row>
    <row r="55" spans="1:4">
      <c r="A55" s="18">
        <v>46023</v>
      </c>
      <c r="B55" s="5">
        <v>3165351.93</v>
      </c>
      <c r="C55" s="5">
        <v>847282.1</v>
      </c>
      <c r="D55" s="10">
        <f t="shared" ref="D55:D64" si="0">C55/B55</f>
        <v>0.26767390127138246</v>
      </c>
    </row>
    <row r="56" spans="1:4">
      <c r="A56" s="18">
        <v>46054</v>
      </c>
      <c r="B56" s="5">
        <v>3814168.2</v>
      </c>
      <c r="C56" s="5">
        <v>1191738.82</v>
      </c>
      <c r="D56" s="10">
        <f t="shared" si="0"/>
        <v>0.31245051542299579</v>
      </c>
    </row>
    <row r="57" spans="1:4">
      <c r="A57" s="18">
        <v>46082</v>
      </c>
      <c r="B57" s="5">
        <v>7973054.3899999997</v>
      </c>
      <c r="C57" s="5">
        <v>3607378.39</v>
      </c>
      <c r="D57" s="10">
        <f t="shared" si="0"/>
        <v>0.45244622870307549</v>
      </c>
    </row>
    <row r="58" spans="1:4">
      <c r="A58" s="18">
        <v>46113</v>
      </c>
      <c r="B58" s="5">
        <v>6453009.9400000004</v>
      </c>
      <c r="C58" s="5">
        <v>3441791.82</v>
      </c>
      <c r="D58" s="10">
        <f t="shared" si="0"/>
        <v>0.53336223746774514</v>
      </c>
    </row>
    <row r="59" spans="1:4">
      <c r="A59" s="18">
        <v>46143</v>
      </c>
      <c r="B59" s="5"/>
      <c r="C59" s="5"/>
      <c r="D59" s="10" t="e">
        <f t="shared" si="0"/>
        <v>#DIV/0!</v>
      </c>
    </row>
    <row r="60" spans="1:4">
      <c r="A60" s="18">
        <v>46174</v>
      </c>
      <c r="B60" s="5"/>
      <c r="C60" s="5"/>
      <c r="D60" s="10" t="e">
        <f t="shared" si="0"/>
        <v>#DIV/0!</v>
      </c>
    </row>
    <row r="61" spans="1:4">
      <c r="A61" s="18">
        <v>46204</v>
      </c>
      <c r="B61" s="5"/>
      <c r="C61" s="5"/>
      <c r="D61" s="10" t="e">
        <f t="shared" si="0"/>
        <v>#DIV/0!</v>
      </c>
    </row>
    <row r="62" spans="1:4">
      <c r="A62" s="18">
        <v>46235</v>
      </c>
      <c r="B62" s="5"/>
      <c r="C62" s="5"/>
      <c r="D62" s="10" t="e">
        <f t="shared" si="0"/>
        <v>#DIV/0!</v>
      </c>
    </row>
    <row r="63" spans="1:4">
      <c r="A63" s="18">
        <v>46266</v>
      </c>
      <c r="B63" s="5"/>
      <c r="C63" s="5"/>
      <c r="D63" s="10" t="e">
        <f t="shared" si="0"/>
        <v>#DIV/0!</v>
      </c>
    </row>
    <row r="64" spans="1:4">
      <c r="A64" s="18">
        <v>46296</v>
      </c>
      <c r="B64" s="5"/>
      <c r="C64" s="5"/>
      <c r="D64" s="10" t="e">
        <f t="shared" si="0"/>
        <v>#DIV/0!</v>
      </c>
    </row>
    <row r="65" spans="1:4">
      <c r="A65" s="18"/>
      <c r="B65" s="5"/>
      <c r="C65" s="5"/>
      <c r="D65" s="10"/>
    </row>
    <row r="66" spans="1:4">
      <c r="A66" s="18"/>
      <c r="B66" s="5"/>
      <c r="C66" s="5"/>
      <c r="D66" s="10"/>
    </row>
    <row r="67" spans="1:4">
      <c r="A67" s="24" t="s">
        <v>42</v>
      </c>
      <c r="B67" s="20">
        <f>SUM(B55:B66)</f>
        <v>21405584.460000001</v>
      </c>
      <c r="C67" s="20">
        <f>SUM(C55:C66)</f>
        <v>9088191.1300000008</v>
      </c>
      <c r="D67" s="23">
        <f>C67/B67</f>
        <v>0.42457103411415098</v>
      </c>
    </row>
    <row r="70" spans="1:4" ht="15" customHeight="1">
      <c r="A70" s="59" t="s">
        <v>43</v>
      </c>
      <c r="B70" s="59"/>
    </row>
    <row r="71" spans="1:4">
      <c r="A71" t="s">
        <v>41</v>
      </c>
      <c r="B71" t="s">
        <v>11</v>
      </c>
      <c r="C71" t="s">
        <v>12</v>
      </c>
      <c r="D71" t="s">
        <v>1</v>
      </c>
    </row>
    <row r="72" spans="1:4">
      <c r="A72" s="18">
        <v>46023</v>
      </c>
      <c r="B72" s="5">
        <v>859043.31</v>
      </c>
      <c r="C72" s="5">
        <v>158509.53</v>
      </c>
      <c r="D72" s="10">
        <f>C72/B72</f>
        <v>0.18451867112497505</v>
      </c>
    </row>
    <row r="73" spans="1:4">
      <c r="A73" s="18">
        <v>46054</v>
      </c>
      <c r="B73" s="5">
        <v>1425518.64</v>
      </c>
      <c r="C73" s="5">
        <v>348966.5</v>
      </c>
      <c r="D73" s="10">
        <f>C73/B73</f>
        <v>0.24479967515542275</v>
      </c>
    </row>
    <row r="74" spans="1:4">
      <c r="A74" s="18">
        <v>46082</v>
      </c>
      <c r="B74" s="5">
        <v>2327651.2599999998</v>
      </c>
      <c r="C74" s="5">
        <v>797767.47</v>
      </c>
      <c r="D74" s="10">
        <f>C74/B74</f>
        <v>0.34273496365602468</v>
      </c>
    </row>
    <row r="75" spans="1:4">
      <c r="A75" s="18">
        <v>46113</v>
      </c>
      <c r="B75" s="5">
        <v>2660828.2999999998</v>
      </c>
      <c r="C75" s="5">
        <v>939920.77</v>
      </c>
      <c r="D75" s="10">
        <f>C75/B75</f>
        <v>0.35324367603877338</v>
      </c>
    </row>
    <row r="76" spans="1:4">
      <c r="A76" s="18">
        <v>46143</v>
      </c>
      <c r="B76" s="5"/>
      <c r="C76" s="5"/>
      <c r="D76" s="10" t="e">
        <f>C76/B76</f>
        <v>#DIV/0!</v>
      </c>
    </row>
    <row r="77" spans="1:4">
      <c r="A77" s="18">
        <v>46174</v>
      </c>
      <c r="B77" s="5"/>
      <c r="C77" s="5"/>
      <c r="D77" s="10"/>
    </row>
    <row r="78" spans="1:4">
      <c r="A78" s="18">
        <v>46204</v>
      </c>
      <c r="B78" s="5"/>
      <c r="C78" s="5"/>
      <c r="D78" s="10"/>
    </row>
    <row r="79" spans="1:4">
      <c r="A79" s="18">
        <v>46235</v>
      </c>
    </row>
    <row r="80" spans="1:4">
      <c r="A80" s="18">
        <v>46266</v>
      </c>
    </row>
    <row r="81" spans="1:4">
      <c r="A81" s="18">
        <v>46296</v>
      </c>
    </row>
    <row r="82" spans="1:4">
      <c r="A82" s="18">
        <v>46327</v>
      </c>
    </row>
    <row r="83" spans="1:4">
      <c r="A83" s="18">
        <v>46357</v>
      </c>
    </row>
    <row r="85" spans="1:4">
      <c r="A85" s="8" t="s">
        <v>42</v>
      </c>
      <c r="B85" s="20">
        <f>SUM(B72:B79)</f>
        <v>7273041.5099999998</v>
      </c>
      <c r="C85" s="20">
        <f>SUM(C72:C79)</f>
        <v>2245164.27</v>
      </c>
      <c r="D85" s="23">
        <f>C85/B85</f>
        <v>0.30869674907162742</v>
      </c>
    </row>
    <row r="92" spans="1:4">
      <c r="B92" s="9" t="s">
        <v>32</v>
      </c>
      <c r="C92" s="9" t="s">
        <v>33</v>
      </c>
      <c r="D92" s="9" t="s">
        <v>10</v>
      </c>
    </row>
    <row r="93" spans="1:4">
      <c r="D93" s="2">
        <v>46027</v>
      </c>
    </row>
    <row r="94" spans="1:4">
      <c r="D94" s="2">
        <v>46028</v>
      </c>
    </row>
    <row r="95" spans="1:4">
      <c r="B95">
        <v>4041</v>
      </c>
      <c r="C95">
        <v>597</v>
      </c>
      <c r="D95" s="2">
        <v>46029</v>
      </c>
    </row>
    <row r="96" spans="1:4">
      <c r="B96">
        <v>4218</v>
      </c>
      <c r="C96">
        <v>696</v>
      </c>
      <c r="D96" s="2">
        <v>46030</v>
      </c>
    </row>
    <row r="97" spans="2:5">
      <c r="B97">
        <v>4446</v>
      </c>
      <c r="C97">
        <v>808</v>
      </c>
      <c r="D97" s="2">
        <v>46031</v>
      </c>
    </row>
    <row r="98" spans="2:5">
      <c r="B98">
        <v>5690</v>
      </c>
      <c r="C98">
        <v>1049</v>
      </c>
      <c r="D98" s="2">
        <v>46036</v>
      </c>
    </row>
    <row r="99" spans="2:5">
      <c r="B99">
        <v>5844</v>
      </c>
      <c r="C99">
        <v>1189</v>
      </c>
      <c r="D99" s="2">
        <v>46037</v>
      </c>
    </row>
    <row r="100" spans="2:5">
      <c r="B100">
        <v>6209</v>
      </c>
      <c r="C100">
        <v>1582</v>
      </c>
      <c r="D100" s="2">
        <v>46042</v>
      </c>
    </row>
    <row r="101" spans="2:5">
      <c r="B101">
        <v>6855</v>
      </c>
      <c r="C101">
        <v>2408</v>
      </c>
      <c r="D101" s="2">
        <v>46048</v>
      </c>
    </row>
    <row r="102" spans="2:5">
      <c r="D102" s="2"/>
    </row>
    <row r="103" spans="2:5">
      <c r="D103" s="2"/>
    </row>
    <row r="104" spans="2:5">
      <c r="D104" s="2"/>
    </row>
    <row r="105" spans="2:5">
      <c r="D105" s="2"/>
    </row>
    <row r="106" spans="2:5">
      <c r="D106" s="2"/>
    </row>
    <row r="107" spans="2:5">
      <c r="D107" s="2"/>
    </row>
    <row r="108" spans="2:5">
      <c r="D108" s="2"/>
    </row>
    <row r="109" spans="2:5">
      <c r="D109" s="2"/>
    </row>
    <row r="110" spans="2:5">
      <c r="D110" s="25"/>
      <c r="E110" s="25"/>
    </row>
    <row r="116" spans="1:3">
      <c r="B116" s="20"/>
      <c r="C116" s="5"/>
    </row>
    <row r="118" spans="1:3">
      <c r="A118" s="2"/>
      <c r="B118" s="13"/>
      <c r="C118" s="5"/>
    </row>
    <row r="119" spans="1:3">
      <c r="B119" s="20"/>
      <c r="C119" s="5"/>
    </row>
    <row r="121" spans="1:3">
      <c r="A121" s="2"/>
      <c r="B121" s="13"/>
    </row>
    <row r="122" spans="1:3">
      <c r="B122" s="20"/>
      <c r="C122" s="5"/>
    </row>
    <row r="124" spans="1:3">
      <c r="A124" s="2"/>
      <c r="B124" s="13"/>
    </row>
    <row r="125" spans="1:3">
      <c r="B125" s="20"/>
      <c r="C125" s="5"/>
    </row>
    <row r="127" spans="1:3">
      <c r="A127" s="2"/>
      <c r="B127" s="13"/>
    </row>
    <row r="128" spans="1:3">
      <c r="B128" s="20"/>
      <c r="C128" s="5"/>
    </row>
    <row r="130" spans="1:3">
      <c r="A130" s="2"/>
      <c r="B130" s="13"/>
    </row>
    <row r="131" spans="1:3">
      <c r="B131" s="20"/>
      <c r="C131" s="5"/>
    </row>
    <row r="133" spans="1:3">
      <c r="A133" s="2"/>
      <c r="B133" s="13"/>
    </row>
    <row r="134" spans="1:3">
      <c r="B134" s="20"/>
      <c r="C134" s="5"/>
    </row>
    <row r="136" spans="1:3">
      <c r="A136" s="2"/>
      <c r="B136" s="13"/>
    </row>
    <row r="137" spans="1:3">
      <c r="B137" s="20"/>
      <c r="C137" s="5"/>
    </row>
    <row r="139" spans="1:3">
      <c r="A139" s="2"/>
      <c r="B139" s="13"/>
    </row>
    <row r="140" spans="1:3">
      <c r="B140" s="20"/>
      <c r="C140" s="5"/>
    </row>
    <row r="142" spans="1:3">
      <c r="A142" s="2"/>
      <c r="B142" s="13"/>
    </row>
    <row r="143" spans="1:3">
      <c r="B143" s="20"/>
      <c r="C143" s="5"/>
    </row>
    <row r="145" spans="1:3">
      <c r="A145" s="2"/>
      <c r="B145" s="13"/>
    </row>
    <row r="146" spans="1:3">
      <c r="B146" s="20"/>
      <c r="C146" s="5"/>
    </row>
    <row r="148" spans="1:3">
      <c r="A148" s="2"/>
      <c r="B148" s="26"/>
    </row>
    <row r="149" spans="1:3">
      <c r="B149" s="20"/>
      <c r="C149" s="5"/>
    </row>
    <row r="151" spans="1:3">
      <c r="A151" s="2"/>
      <c r="B151" s="26"/>
    </row>
    <row r="152" spans="1:3">
      <c r="B152" s="20"/>
      <c r="C152" s="5"/>
    </row>
  </sheetData>
  <mergeCells count="2">
    <mergeCell ref="A53:D53"/>
    <mergeCell ref="A70:B70"/>
  </mergeCells>
  <pageMargins left="0.511811024" right="0.511811024" top="0.78740157499999996" bottom="0.78740157499999996" header="0.31496062000000002" footer="0.31496062000000002"/>
  <ignoredErrors>
    <ignoredError sqref="D56" evalError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B652-E087-4031-8275-06C0F01588C2}">
  <dimension ref="A1:Q19"/>
  <sheetViews>
    <sheetView tabSelected="1" workbookViewId="0">
      <selection activeCell="Q19" sqref="Q19"/>
    </sheetView>
  </sheetViews>
  <sheetFormatPr defaultRowHeight="15"/>
  <cols>
    <col min="1" max="1" width="8.5703125" bestFit="1" customWidth="1"/>
    <col min="2" max="3" width="14.42578125" bestFit="1" customWidth="1"/>
    <col min="4" max="4" width="7.140625" bestFit="1" customWidth="1"/>
  </cols>
  <sheetData>
    <row r="1" spans="1:4">
      <c r="A1" t="s">
        <v>41</v>
      </c>
      <c r="B1" t="s">
        <v>11</v>
      </c>
      <c r="C1" t="s">
        <v>12</v>
      </c>
      <c r="D1" t="s">
        <v>1</v>
      </c>
    </row>
    <row r="2" spans="1:4">
      <c r="A2" s="18">
        <v>45717</v>
      </c>
      <c r="B2" s="5">
        <v>13135.81</v>
      </c>
      <c r="C2" s="5">
        <v>178.12</v>
      </c>
      <c r="D2" s="10">
        <f t="shared" ref="D2:D11" si="0">C2/B2</f>
        <v>1.3559879444054079E-2</v>
      </c>
    </row>
    <row r="3" spans="1:4">
      <c r="A3" s="18">
        <v>45748</v>
      </c>
      <c r="B3" s="5">
        <v>104904.72</v>
      </c>
      <c r="C3" s="5">
        <v>9896.1299999999992</v>
      </c>
      <c r="D3" s="10">
        <f t="shared" si="0"/>
        <v>9.433445892615698E-2</v>
      </c>
    </row>
    <row r="4" spans="1:4">
      <c r="A4" s="18">
        <v>45778</v>
      </c>
      <c r="B4" s="5">
        <v>115221.56</v>
      </c>
      <c r="C4" s="5">
        <v>7128.95</v>
      </c>
      <c r="D4" s="10">
        <f t="shared" si="0"/>
        <v>6.1871667073419248E-2</v>
      </c>
    </row>
    <row r="5" spans="1:4">
      <c r="A5" s="18">
        <v>45809</v>
      </c>
      <c r="B5" s="5">
        <v>228348.86</v>
      </c>
      <c r="C5" s="5">
        <v>21232.74</v>
      </c>
      <c r="D5" s="10">
        <f t="shared" si="0"/>
        <v>9.2983779292789129E-2</v>
      </c>
    </row>
    <row r="6" spans="1:4">
      <c r="A6" s="18">
        <v>45839</v>
      </c>
      <c r="B6" s="5">
        <v>385626.33</v>
      </c>
      <c r="C6" s="5">
        <v>35812.879999999997</v>
      </c>
      <c r="D6" s="10">
        <f t="shared" si="0"/>
        <v>9.2869384722770343E-2</v>
      </c>
    </row>
    <row r="7" spans="1:4">
      <c r="A7" s="18">
        <v>45870</v>
      </c>
      <c r="B7" s="5">
        <v>353974.52</v>
      </c>
      <c r="C7" s="5">
        <v>57904.02</v>
      </c>
      <c r="D7" s="10">
        <f t="shared" si="0"/>
        <v>0.16358245220588191</v>
      </c>
    </row>
    <row r="8" spans="1:4">
      <c r="A8" s="18">
        <v>45901</v>
      </c>
      <c r="B8" s="5">
        <v>964347.28</v>
      </c>
      <c r="C8" s="5">
        <v>165426.82</v>
      </c>
      <c r="D8" s="10">
        <f t="shared" si="0"/>
        <v>0.17154278695119046</v>
      </c>
    </row>
    <row r="9" spans="1:4">
      <c r="A9" s="18">
        <v>45931</v>
      </c>
      <c r="B9" s="5">
        <v>1610234.62</v>
      </c>
      <c r="C9" s="5">
        <v>324916.81</v>
      </c>
      <c r="D9" s="10">
        <f t="shared" si="0"/>
        <v>0.20178227816266922</v>
      </c>
    </row>
    <row r="10" spans="1:4">
      <c r="A10" s="18">
        <v>45962</v>
      </c>
      <c r="B10" s="5">
        <v>2241199.75</v>
      </c>
      <c r="C10" s="5">
        <v>617633.9</v>
      </c>
      <c r="D10" s="10">
        <f t="shared" si="0"/>
        <v>0.27558181728335462</v>
      </c>
    </row>
    <row r="11" spans="1:4">
      <c r="A11" s="18">
        <v>45992</v>
      </c>
      <c r="B11" s="5">
        <v>3192508.23</v>
      </c>
      <c r="C11" s="5">
        <v>1498609.23</v>
      </c>
      <c r="D11" s="10">
        <f t="shared" si="0"/>
        <v>0.46941436702263412</v>
      </c>
    </row>
    <row r="12" spans="1:4">
      <c r="A12" s="18">
        <v>46023</v>
      </c>
      <c r="B12" s="5">
        <v>3165351.93</v>
      </c>
      <c r="C12" s="5">
        <v>847282.1</v>
      </c>
      <c r="D12" s="10">
        <f>C12/B12</f>
        <v>0.26767390127138246</v>
      </c>
    </row>
    <row r="13" spans="1:4">
      <c r="A13" s="18">
        <v>46054</v>
      </c>
      <c r="B13" s="5">
        <v>3814168.2</v>
      </c>
      <c r="C13" s="5">
        <v>1191738.82</v>
      </c>
      <c r="D13" s="10">
        <f>C13/B13</f>
        <v>0.31245051542299579</v>
      </c>
    </row>
    <row r="14" spans="1:4">
      <c r="A14" s="18">
        <v>46082</v>
      </c>
      <c r="B14" s="5">
        <v>7973054.3899999997</v>
      </c>
      <c r="C14" s="5">
        <v>3607378.39</v>
      </c>
      <c r="D14" s="10">
        <f>C14/B14</f>
        <v>0.45244622870307549</v>
      </c>
    </row>
    <row r="15" spans="1:4">
      <c r="A15" s="18">
        <v>46113</v>
      </c>
      <c r="B15" s="5">
        <v>6453009.9400000004</v>
      </c>
      <c r="C15" s="5">
        <v>3441791.82</v>
      </c>
      <c r="D15" s="10">
        <f>C15/B15</f>
        <v>0.53336223746774514</v>
      </c>
    </row>
    <row r="19" spans="17:17">
      <c r="Q19" t="s">
        <v>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03C-131F-41B2-BEE7-7A6773B81796}">
  <dimension ref="B5:K125"/>
  <sheetViews>
    <sheetView topLeftCell="A106" workbookViewId="0">
      <selection activeCell="D72" sqref="D72"/>
    </sheetView>
  </sheetViews>
  <sheetFormatPr defaultColWidth="8.85546875" defaultRowHeight="15.75"/>
  <cols>
    <col min="1" max="1" width="8.85546875" style="30"/>
    <col min="2" max="2" width="14" style="30" bestFit="1" customWidth="1"/>
    <col min="3" max="3" width="16.28515625" style="30" bestFit="1" customWidth="1"/>
    <col min="4" max="4" width="6.5703125" style="30" bestFit="1" customWidth="1"/>
    <col min="5" max="6" width="18.28515625" style="30" bestFit="1" customWidth="1"/>
    <col min="7" max="7" width="14.140625" style="30" customWidth="1"/>
    <col min="8" max="8" width="16.28515625" style="30" bestFit="1" customWidth="1"/>
    <col min="9" max="9" width="17.28515625" style="30" bestFit="1" customWidth="1"/>
    <col min="10" max="10" width="7.7109375" style="30" bestFit="1" customWidth="1"/>
    <col min="11" max="11" width="12.42578125" style="30" bestFit="1" customWidth="1"/>
    <col min="12" max="16384" width="8.85546875" style="30"/>
  </cols>
  <sheetData>
    <row r="5" spans="2:11">
      <c r="B5" s="44" t="s">
        <v>59</v>
      </c>
      <c r="C5" s="44" t="s">
        <v>60</v>
      </c>
      <c r="D5" s="44" t="s">
        <v>61</v>
      </c>
      <c r="E5" s="44" t="s">
        <v>62</v>
      </c>
      <c r="F5" s="44" t="s">
        <v>63</v>
      </c>
      <c r="G5" s="44" t="s">
        <v>64</v>
      </c>
      <c r="H5" s="44" t="s">
        <v>65</v>
      </c>
      <c r="I5" s="44" t="s">
        <v>66</v>
      </c>
      <c r="J5" s="44" t="s">
        <v>67</v>
      </c>
      <c r="K5" s="44" t="s">
        <v>68</v>
      </c>
    </row>
    <row r="6" spans="2:11">
      <c r="B6" s="60">
        <v>46027</v>
      </c>
      <c r="C6" s="31" t="s">
        <v>69</v>
      </c>
      <c r="D6" s="32">
        <v>1370</v>
      </c>
      <c r="E6" s="33">
        <v>703142.84</v>
      </c>
      <c r="F6" s="32"/>
      <c r="G6" s="32"/>
      <c r="H6" s="34"/>
      <c r="I6" s="35"/>
      <c r="J6" s="36" t="str">
        <f>IFERROR(G6/F6,"-")</f>
        <v>-</v>
      </c>
      <c r="K6" s="36" t="str">
        <f>IFERROR(H6/G6,"-")</f>
        <v>-</v>
      </c>
    </row>
    <row r="7" spans="2:11">
      <c r="B7" s="60"/>
      <c r="C7" s="37" t="s">
        <v>70</v>
      </c>
      <c r="D7" s="32">
        <v>963</v>
      </c>
      <c r="E7" s="33">
        <v>540734.88</v>
      </c>
      <c r="F7" s="32"/>
      <c r="G7" s="32"/>
      <c r="H7" s="34"/>
      <c r="I7" s="35"/>
      <c r="J7" s="36" t="str">
        <f t="shared" ref="J7:K70" si="0">IFERROR(G7/F7,"-")</f>
        <v>-</v>
      </c>
      <c r="K7" s="36" t="str">
        <f t="shared" si="0"/>
        <v>-</v>
      </c>
    </row>
    <row r="8" spans="2:11">
      <c r="B8" s="60"/>
      <c r="C8" s="31" t="s">
        <v>71</v>
      </c>
      <c r="D8" s="32">
        <v>1365</v>
      </c>
      <c r="E8" s="33">
        <v>595931.92000000004</v>
      </c>
      <c r="F8" s="32"/>
      <c r="G8" s="32"/>
      <c r="H8" s="34"/>
      <c r="I8" s="35"/>
      <c r="J8" s="36" t="str">
        <f t="shared" si="0"/>
        <v>-</v>
      </c>
      <c r="K8" s="36" t="str">
        <f t="shared" si="0"/>
        <v>-</v>
      </c>
    </row>
    <row r="9" spans="2:11">
      <c r="B9" s="60"/>
      <c r="C9" s="31" t="s">
        <v>72</v>
      </c>
      <c r="D9" s="32">
        <v>1604</v>
      </c>
      <c r="E9" s="33">
        <v>584393.65</v>
      </c>
      <c r="F9" s="32"/>
      <c r="G9" s="32"/>
      <c r="H9" s="34"/>
      <c r="I9" s="35"/>
      <c r="J9" s="36" t="str">
        <f t="shared" si="0"/>
        <v>-</v>
      </c>
      <c r="K9" s="36" t="str">
        <f t="shared" si="0"/>
        <v>-</v>
      </c>
    </row>
    <row r="10" spans="2:11">
      <c r="B10" s="60"/>
      <c r="C10" s="37" t="s">
        <v>73</v>
      </c>
      <c r="D10" s="32">
        <v>633</v>
      </c>
      <c r="E10" s="33">
        <v>199120.71</v>
      </c>
      <c r="F10" s="32"/>
      <c r="G10" s="32"/>
      <c r="H10" s="34"/>
      <c r="I10" s="35"/>
      <c r="J10" s="36" t="str">
        <f t="shared" si="0"/>
        <v>-</v>
      </c>
      <c r="K10" s="36" t="str">
        <f t="shared" si="0"/>
        <v>-</v>
      </c>
    </row>
    <row r="11" spans="2:11">
      <c r="B11" s="61"/>
      <c r="C11" s="38" t="s">
        <v>74</v>
      </c>
      <c r="D11" s="39">
        <v>403</v>
      </c>
      <c r="E11" s="40">
        <v>104255.84</v>
      </c>
      <c r="F11" s="39"/>
      <c r="G11" s="39"/>
      <c r="H11" s="41"/>
      <c r="I11" s="42"/>
      <c r="J11" s="43" t="str">
        <f t="shared" si="0"/>
        <v>-</v>
      </c>
      <c r="K11" s="43" t="str">
        <f t="shared" si="0"/>
        <v>-</v>
      </c>
    </row>
    <row r="12" spans="2:11">
      <c r="B12" s="60">
        <v>46028</v>
      </c>
      <c r="C12" s="31" t="s">
        <v>69</v>
      </c>
      <c r="D12" s="32">
        <v>1443</v>
      </c>
      <c r="E12" s="33">
        <v>748939.35</v>
      </c>
      <c r="F12" s="32"/>
      <c r="G12" s="32"/>
      <c r="H12" s="34"/>
      <c r="I12" s="35"/>
      <c r="J12" s="36" t="str">
        <f t="shared" si="0"/>
        <v>-</v>
      </c>
      <c r="K12" s="36" t="str">
        <f t="shared" si="0"/>
        <v>-</v>
      </c>
    </row>
    <row r="13" spans="2:11">
      <c r="B13" s="60"/>
      <c r="C13" s="37" t="s">
        <v>70</v>
      </c>
      <c r="D13" s="32">
        <v>990</v>
      </c>
      <c r="E13" s="33">
        <v>549923.06000000006</v>
      </c>
      <c r="F13" s="32"/>
      <c r="G13" s="32"/>
      <c r="H13" s="34"/>
      <c r="I13" s="35"/>
      <c r="J13" s="36" t="str">
        <f t="shared" si="0"/>
        <v>-</v>
      </c>
      <c r="K13" s="36" t="str">
        <f t="shared" si="0"/>
        <v>-</v>
      </c>
    </row>
    <row r="14" spans="2:11">
      <c r="B14" s="60"/>
      <c r="C14" s="31" t="s">
        <v>71</v>
      </c>
      <c r="D14" s="32">
        <v>1378</v>
      </c>
      <c r="E14" s="33">
        <v>601876.93999999994</v>
      </c>
      <c r="F14" s="32"/>
      <c r="G14" s="32"/>
      <c r="H14" s="34"/>
      <c r="I14" s="35"/>
      <c r="J14" s="36" t="str">
        <f t="shared" si="0"/>
        <v>-</v>
      </c>
      <c r="K14" s="36" t="str">
        <f t="shared" si="0"/>
        <v>-</v>
      </c>
    </row>
    <row r="15" spans="2:11">
      <c r="B15" s="60"/>
      <c r="C15" s="31" t="s">
        <v>72</v>
      </c>
      <c r="D15" s="32">
        <v>1613</v>
      </c>
      <c r="E15" s="33">
        <v>587581.91</v>
      </c>
      <c r="F15" s="32"/>
      <c r="G15" s="32"/>
      <c r="H15" s="34"/>
      <c r="I15" s="35"/>
      <c r="J15" s="36" t="str">
        <f t="shared" si="0"/>
        <v>-</v>
      </c>
      <c r="K15" s="36" t="str">
        <f t="shared" si="0"/>
        <v>-</v>
      </c>
    </row>
    <row r="16" spans="2:11">
      <c r="B16" s="60"/>
      <c r="C16" s="37" t="s">
        <v>73</v>
      </c>
      <c r="D16" s="32">
        <v>655</v>
      </c>
      <c r="E16" s="33">
        <v>205483.29</v>
      </c>
      <c r="F16" s="32"/>
      <c r="G16" s="32"/>
      <c r="H16" s="34"/>
      <c r="I16" s="35"/>
      <c r="J16" s="36" t="str">
        <f t="shared" si="0"/>
        <v>-</v>
      </c>
      <c r="K16" s="36" t="str">
        <f t="shared" si="0"/>
        <v>-</v>
      </c>
    </row>
    <row r="17" spans="2:11">
      <c r="B17" s="61"/>
      <c r="C17" s="38" t="s">
        <v>74</v>
      </c>
      <c r="D17" s="39">
        <v>406</v>
      </c>
      <c r="E17" s="40">
        <v>104463.48</v>
      </c>
      <c r="F17" s="39"/>
      <c r="G17" s="39"/>
      <c r="H17" s="41"/>
      <c r="I17" s="42"/>
      <c r="J17" s="43" t="str">
        <f t="shared" si="0"/>
        <v>-</v>
      </c>
      <c r="K17" s="43" t="str">
        <f t="shared" si="0"/>
        <v>-</v>
      </c>
    </row>
    <row r="18" spans="2:11">
      <c r="B18" s="60">
        <v>46029</v>
      </c>
      <c r="C18" s="31" t="s">
        <v>69</v>
      </c>
      <c r="D18" s="32">
        <v>1780</v>
      </c>
      <c r="E18" s="33">
        <v>793725.39</v>
      </c>
      <c r="F18" s="32"/>
      <c r="G18" s="32"/>
      <c r="H18" s="34"/>
      <c r="I18" s="35"/>
      <c r="J18" s="36" t="str">
        <f t="shared" si="0"/>
        <v>-</v>
      </c>
      <c r="K18" s="36" t="str">
        <f t="shared" si="0"/>
        <v>-</v>
      </c>
    </row>
    <row r="19" spans="2:11">
      <c r="B19" s="60"/>
      <c r="C19" s="37" t="s">
        <v>70</v>
      </c>
      <c r="D19" s="32">
        <v>1003</v>
      </c>
      <c r="E19" s="33">
        <v>555478.25</v>
      </c>
      <c r="F19" s="32"/>
      <c r="G19" s="32"/>
      <c r="H19" s="34"/>
      <c r="I19" s="35"/>
      <c r="J19" s="36" t="str">
        <f t="shared" si="0"/>
        <v>-</v>
      </c>
      <c r="K19" s="36" t="str">
        <f t="shared" si="0"/>
        <v>-</v>
      </c>
    </row>
    <row r="20" spans="2:11">
      <c r="B20" s="60"/>
      <c r="C20" s="31" t="s">
        <v>71</v>
      </c>
      <c r="D20" s="32">
        <v>1265</v>
      </c>
      <c r="E20" s="33">
        <v>565448.68999999994</v>
      </c>
      <c r="F20" s="32"/>
      <c r="G20" s="32"/>
      <c r="H20" s="34"/>
      <c r="I20" s="35"/>
      <c r="J20" s="36" t="str">
        <f t="shared" si="0"/>
        <v>-</v>
      </c>
      <c r="K20" s="36" t="str">
        <f t="shared" si="0"/>
        <v>-</v>
      </c>
    </row>
    <row r="21" spans="2:11">
      <c r="B21" s="60"/>
      <c r="C21" s="31" t="s">
        <v>72</v>
      </c>
      <c r="D21" s="32">
        <v>1735</v>
      </c>
      <c r="E21" s="33">
        <v>630548.09</v>
      </c>
      <c r="F21" s="32"/>
      <c r="G21" s="32"/>
      <c r="H21" s="34"/>
      <c r="I21" s="35"/>
      <c r="J21" s="36" t="str">
        <f t="shared" si="0"/>
        <v>-</v>
      </c>
      <c r="K21" s="36" t="str">
        <f t="shared" si="0"/>
        <v>-</v>
      </c>
    </row>
    <row r="22" spans="2:11">
      <c r="B22" s="60"/>
      <c r="C22" s="37" t="s">
        <v>73</v>
      </c>
      <c r="D22" s="32">
        <v>674</v>
      </c>
      <c r="E22" s="33">
        <v>212551.45</v>
      </c>
      <c r="F22" s="32"/>
      <c r="G22" s="32"/>
      <c r="H22" s="34"/>
      <c r="I22" s="35"/>
      <c r="J22" s="36" t="str">
        <f t="shared" si="0"/>
        <v>-</v>
      </c>
      <c r="K22" s="36" t="str">
        <f t="shared" si="0"/>
        <v>-</v>
      </c>
    </row>
    <row r="23" spans="2:11">
      <c r="B23" s="61"/>
      <c r="C23" s="38" t="s">
        <v>74</v>
      </c>
      <c r="D23" s="39">
        <v>408</v>
      </c>
      <c r="E23" s="40">
        <v>105973.45</v>
      </c>
      <c r="F23" s="39"/>
      <c r="G23" s="39"/>
      <c r="H23" s="41"/>
      <c r="I23" s="42"/>
      <c r="J23" s="43" t="str">
        <f t="shared" si="0"/>
        <v>-</v>
      </c>
      <c r="K23" s="43" t="str">
        <f t="shared" si="0"/>
        <v>-</v>
      </c>
    </row>
    <row r="24" spans="2:11">
      <c r="B24" s="60">
        <v>46030</v>
      </c>
      <c r="C24" s="31" t="s">
        <v>69</v>
      </c>
      <c r="D24" s="32">
        <v>1758</v>
      </c>
      <c r="E24" s="33">
        <v>825500.54</v>
      </c>
      <c r="F24" s="32"/>
      <c r="G24" s="32"/>
      <c r="H24" s="34"/>
      <c r="I24" s="35"/>
      <c r="J24" s="36" t="str">
        <f t="shared" si="0"/>
        <v>-</v>
      </c>
      <c r="K24" s="36" t="str">
        <f t="shared" si="0"/>
        <v>-</v>
      </c>
    </row>
    <row r="25" spans="2:11">
      <c r="B25" s="60"/>
      <c r="C25" s="37" t="s">
        <v>70</v>
      </c>
      <c r="D25" s="32">
        <v>1036</v>
      </c>
      <c r="E25" s="33">
        <v>576302.03</v>
      </c>
      <c r="F25" s="32"/>
      <c r="G25" s="32"/>
      <c r="H25" s="34"/>
      <c r="I25" s="35"/>
      <c r="J25" s="36" t="str">
        <f t="shared" si="0"/>
        <v>-</v>
      </c>
      <c r="K25" s="36" t="str">
        <f t="shared" si="0"/>
        <v>-</v>
      </c>
    </row>
    <row r="26" spans="2:11">
      <c r="B26" s="60"/>
      <c r="C26" s="31" t="s">
        <v>71</v>
      </c>
      <c r="D26" s="32">
        <v>1240</v>
      </c>
      <c r="E26" s="33">
        <v>552398.92000000004</v>
      </c>
      <c r="F26" s="32"/>
      <c r="G26" s="32"/>
      <c r="H26" s="34"/>
      <c r="I26" s="35"/>
      <c r="J26" s="36" t="str">
        <f t="shared" si="0"/>
        <v>-</v>
      </c>
      <c r="K26" s="36" t="str">
        <f t="shared" si="0"/>
        <v>-</v>
      </c>
    </row>
    <row r="27" spans="2:11">
      <c r="B27" s="60"/>
      <c r="C27" s="31" t="s">
        <v>72</v>
      </c>
      <c r="D27" s="32">
        <v>1741</v>
      </c>
      <c r="E27" s="33">
        <v>630249.69999999995</v>
      </c>
      <c r="F27" s="32"/>
      <c r="G27" s="32"/>
      <c r="H27" s="34"/>
      <c r="I27" s="35"/>
      <c r="J27" s="36" t="str">
        <f t="shared" si="0"/>
        <v>-</v>
      </c>
      <c r="K27" s="36" t="str">
        <f t="shared" si="0"/>
        <v>-</v>
      </c>
    </row>
    <row r="28" spans="2:11">
      <c r="B28" s="60"/>
      <c r="C28" s="37" t="s">
        <v>73</v>
      </c>
      <c r="D28" s="32">
        <v>682</v>
      </c>
      <c r="E28" s="33">
        <v>215115.7</v>
      </c>
      <c r="F28" s="32"/>
      <c r="G28" s="32"/>
      <c r="H28" s="34"/>
      <c r="I28" s="35"/>
      <c r="J28" s="36" t="str">
        <f t="shared" si="0"/>
        <v>-</v>
      </c>
      <c r="K28" s="36" t="str">
        <f t="shared" si="0"/>
        <v>-</v>
      </c>
    </row>
    <row r="29" spans="2:11">
      <c r="B29" s="61"/>
      <c r="C29" s="38" t="s">
        <v>74</v>
      </c>
      <c r="D29" s="39">
        <v>408</v>
      </c>
      <c r="E29" s="40">
        <v>105973.45</v>
      </c>
      <c r="F29" s="39"/>
      <c r="G29" s="39"/>
      <c r="H29" s="41"/>
      <c r="I29" s="42"/>
      <c r="J29" s="43" t="str">
        <f t="shared" si="0"/>
        <v>-</v>
      </c>
      <c r="K29" s="43" t="str">
        <f t="shared" si="0"/>
        <v>-</v>
      </c>
    </row>
    <row r="30" spans="2:11">
      <c r="B30" s="60">
        <v>46031</v>
      </c>
      <c r="C30" s="31" t="s">
        <v>69</v>
      </c>
      <c r="D30" s="32">
        <v>1706</v>
      </c>
      <c r="E30" s="33">
        <v>791251.5</v>
      </c>
      <c r="F30" s="32"/>
      <c r="G30" s="32"/>
      <c r="H30" s="34"/>
      <c r="I30" s="35"/>
      <c r="J30" s="36" t="str">
        <f t="shared" si="0"/>
        <v>-</v>
      </c>
      <c r="K30" s="36" t="str">
        <f t="shared" si="0"/>
        <v>-</v>
      </c>
    </row>
    <row r="31" spans="2:11">
      <c r="B31" s="60"/>
      <c r="C31" s="37" t="s">
        <v>70</v>
      </c>
      <c r="D31" s="32">
        <v>1143</v>
      </c>
      <c r="E31" s="33">
        <v>649564.85</v>
      </c>
      <c r="F31" s="32"/>
      <c r="G31" s="32"/>
      <c r="H31" s="34"/>
      <c r="I31" s="35"/>
      <c r="J31" s="36" t="str">
        <f t="shared" si="0"/>
        <v>-</v>
      </c>
      <c r="K31" s="36" t="str">
        <f t="shared" si="0"/>
        <v>-</v>
      </c>
    </row>
    <row r="32" spans="2:11">
      <c r="B32" s="60"/>
      <c r="C32" s="31" t="s">
        <v>71</v>
      </c>
      <c r="D32" s="32">
        <v>821</v>
      </c>
      <c r="E32" s="33">
        <v>391573.21</v>
      </c>
      <c r="F32" s="32"/>
      <c r="G32" s="32"/>
      <c r="H32" s="34"/>
      <c r="I32" s="35"/>
      <c r="J32" s="36" t="str">
        <f t="shared" si="0"/>
        <v>-</v>
      </c>
      <c r="K32" s="36" t="str">
        <f t="shared" si="0"/>
        <v>-</v>
      </c>
    </row>
    <row r="33" spans="2:11">
      <c r="B33" s="60"/>
      <c r="C33" s="31" t="s">
        <v>72</v>
      </c>
      <c r="D33" s="32">
        <v>2155</v>
      </c>
      <c r="E33" s="33">
        <v>789345.39</v>
      </c>
      <c r="F33" s="32"/>
      <c r="G33" s="32"/>
      <c r="H33" s="34"/>
      <c r="I33" s="35"/>
      <c r="J33" s="36" t="str">
        <f t="shared" si="0"/>
        <v>-</v>
      </c>
      <c r="K33" s="36" t="str">
        <f t="shared" si="0"/>
        <v>-</v>
      </c>
    </row>
    <row r="34" spans="2:11">
      <c r="B34" s="60"/>
      <c r="C34" s="37" t="s">
        <v>73</v>
      </c>
      <c r="D34" s="32">
        <v>690</v>
      </c>
      <c r="E34" s="33">
        <v>218916.26</v>
      </c>
      <c r="F34" s="32"/>
      <c r="G34" s="32"/>
      <c r="H34" s="34"/>
      <c r="I34" s="35"/>
      <c r="J34" s="36" t="str">
        <f t="shared" si="0"/>
        <v>-</v>
      </c>
      <c r="K34" s="36" t="str">
        <f t="shared" si="0"/>
        <v>-</v>
      </c>
    </row>
    <row r="35" spans="2:11">
      <c r="B35" s="61"/>
      <c r="C35" s="38" t="s">
        <v>74</v>
      </c>
      <c r="D35" s="39">
        <v>409</v>
      </c>
      <c r="E35" s="40">
        <v>106037.54</v>
      </c>
      <c r="F35" s="39"/>
      <c r="G35" s="39"/>
      <c r="H35" s="41"/>
      <c r="I35" s="42"/>
      <c r="J35" s="43" t="str">
        <f t="shared" si="0"/>
        <v>-</v>
      </c>
      <c r="K35" s="43" t="str">
        <f t="shared" si="0"/>
        <v>-</v>
      </c>
    </row>
    <row r="36" spans="2:11">
      <c r="B36" s="60">
        <v>46034</v>
      </c>
      <c r="C36" s="31" t="s">
        <v>69</v>
      </c>
      <c r="D36" s="32">
        <v>1390</v>
      </c>
      <c r="E36" s="33">
        <v>637488.01</v>
      </c>
      <c r="F36" s="32"/>
      <c r="G36" s="32"/>
      <c r="H36" s="34"/>
      <c r="I36" s="35"/>
      <c r="J36" s="36" t="str">
        <f t="shared" si="0"/>
        <v>-</v>
      </c>
      <c r="K36" s="36" t="str">
        <f t="shared" si="0"/>
        <v>-</v>
      </c>
    </row>
    <row r="37" spans="2:11">
      <c r="B37" s="60"/>
      <c r="C37" s="37" t="s">
        <v>70</v>
      </c>
      <c r="D37" s="32">
        <v>1248</v>
      </c>
      <c r="E37" s="33">
        <v>656756.44999999995</v>
      </c>
      <c r="F37" s="32"/>
      <c r="G37" s="32"/>
      <c r="H37" s="34"/>
      <c r="I37" s="35"/>
      <c r="J37" s="36" t="str">
        <f t="shared" si="0"/>
        <v>-</v>
      </c>
      <c r="K37" s="36" t="str">
        <f t="shared" si="0"/>
        <v>-</v>
      </c>
    </row>
    <row r="38" spans="2:11">
      <c r="B38" s="60"/>
      <c r="C38" s="31" t="s">
        <v>71</v>
      </c>
      <c r="D38" s="32">
        <v>882</v>
      </c>
      <c r="E38" s="33">
        <v>460417.63</v>
      </c>
      <c r="F38" s="32"/>
      <c r="G38" s="32"/>
      <c r="H38" s="34"/>
      <c r="I38" s="35"/>
      <c r="J38" s="36" t="str">
        <f t="shared" si="0"/>
        <v>-</v>
      </c>
      <c r="K38" s="36" t="str">
        <f t="shared" si="0"/>
        <v>-</v>
      </c>
    </row>
    <row r="39" spans="2:11">
      <c r="B39" s="60"/>
      <c r="C39" s="31" t="s">
        <v>72</v>
      </c>
      <c r="D39" s="32">
        <v>2182</v>
      </c>
      <c r="E39" s="33">
        <v>802254.59</v>
      </c>
      <c r="F39" s="32"/>
      <c r="G39" s="32"/>
      <c r="H39" s="34"/>
      <c r="I39" s="35"/>
      <c r="J39" s="36" t="str">
        <f t="shared" si="0"/>
        <v>-</v>
      </c>
      <c r="K39" s="36" t="str">
        <f t="shared" si="0"/>
        <v>-</v>
      </c>
    </row>
    <row r="40" spans="2:11">
      <c r="B40" s="60"/>
      <c r="C40" s="37" t="s">
        <v>73</v>
      </c>
      <c r="D40" s="32">
        <v>678</v>
      </c>
      <c r="E40" s="33">
        <v>218954.59</v>
      </c>
      <c r="F40" s="32"/>
      <c r="G40" s="32"/>
      <c r="H40" s="34"/>
      <c r="I40" s="35"/>
      <c r="J40" s="36" t="str">
        <f t="shared" si="0"/>
        <v>-</v>
      </c>
      <c r="K40" s="36" t="str">
        <f t="shared" si="0"/>
        <v>-</v>
      </c>
    </row>
    <row r="41" spans="2:11">
      <c r="B41" s="61"/>
      <c r="C41" s="38" t="s">
        <v>74</v>
      </c>
      <c r="D41" s="39">
        <v>424</v>
      </c>
      <c r="E41" s="40">
        <v>108450.29</v>
      </c>
      <c r="F41" s="39"/>
      <c r="G41" s="39"/>
      <c r="H41" s="41"/>
      <c r="I41" s="42"/>
      <c r="J41" s="43" t="str">
        <f t="shared" si="0"/>
        <v>-</v>
      </c>
      <c r="K41" s="43" t="str">
        <f t="shared" si="0"/>
        <v>-</v>
      </c>
    </row>
    <row r="42" spans="2:11">
      <c r="B42" s="60">
        <v>46035</v>
      </c>
      <c r="C42" s="31" t="s">
        <v>69</v>
      </c>
      <c r="D42" s="32">
        <v>1504</v>
      </c>
      <c r="E42" s="33">
        <v>722781.01</v>
      </c>
      <c r="F42" s="32"/>
      <c r="G42" s="32"/>
      <c r="H42" s="34"/>
      <c r="I42" s="35"/>
      <c r="J42" s="36" t="str">
        <f t="shared" si="0"/>
        <v>-</v>
      </c>
      <c r="K42" s="36" t="str">
        <f t="shared" si="0"/>
        <v>-</v>
      </c>
    </row>
    <row r="43" spans="2:11">
      <c r="B43" s="60"/>
      <c r="C43" s="37" t="s">
        <v>70</v>
      </c>
      <c r="D43" s="32">
        <v>1260</v>
      </c>
      <c r="E43" s="33">
        <v>668488.69999999995</v>
      </c>
      <c r="F43" s="32"/>
      <c r="G43" s="32"/>
      <c r="H43" s="34"/>
      <c r="I43" s="35"/>
      <c r="J43" s="36" t="str">
        <f t="shared" si="0"/>
        <v>-</v>
      </c>
      <c r="K43" s="36" t="str">
        <f t="shared" si="0"/>
        <v>-</v>
      </c>
    </row>
    <row r="44" spans="2:11">
      <c r="B44" s="60"/>
      <c r="C44" s="31" t="s">
        <v>71</v>
      </c>
      <c r="D44" s="32">
        <v>855</v>
      </c>
      <c r="E44" s="33">
        <v>444603.97</v>
      </c>
      <c r="F44" s="32"/>
      <c r="G44" s="32"/>
      <c r="H44" s="34"/>
      <c r="I44" s="35"/>
      <c r="J44" s="36" t="str">
        <f t="shared" si="0"/>
        <v>-</v>
      </c>
      <c r="K44" s="36" t="str">
        <f t="shared" si="0"/>
        <v>-</v>
      </c>
    </row>
    <row r="45" spans="2:11">
      <c r="B45" s="60"/>
      <c r="C45" s="31" t="s">
        <v>72</v>
      </c>
      <c r="D45" s="32">
        <v>2270</v>
      </c>
      <c r="E45" s="33">
        <v>829979.61</v>
      </c>
      <c r="F45" s="32"/>
      <c r="G45" s="32"/>
      <c r="H45" s="34"/>
      <c r="I45" s="35"/>
      <c r="J45" s="36" t="str">
        <f t="shared" si="0"/>
        <v>-</v>
      </c>
      <c r="K45" s="36" t="str">
        <f t="shared" si="0"/>
        <v>-</v>
      </c>
    </row>
    <row r="46" spans="2:11">
      <c r="B46" s="60"/>
      <c r="C46" s="37" t="s">
        <v>73</v>
      </c>
      <c r="D46" s="32">
        <v>673</v>
      </c>
      <c r="E46" s="33">
        <v>214438.64</v>
      </c>
      <c r="F46" s="32"/>
      <c r="G46" s="32"/>
      <c r="H46" s="34"/>
      <c r="I46" s="35"/>
      <c r="J46" s="36" t="str">
        <f t="shared" si="0"/>
        <v>-</v>
      </c>
      <c r="K46" s="36" t="str">
        <f t="shared" si="0"/>
        <v>-</v>
      </c>
    </row>
    <row r="47" spans="2:11">
      <c r="B47" s="61"/>
      <c r="C47" s="38" t="s">
        <v>74</v>
      </c>
      <c r="D47" s="39">
        <v>441</v>
      </c>
      <c r="E47" s="40">
        <v>114973.88</v>
      </c>
      <c r="F47" s="39"/>
      <c r="G47" s="39"/>
      <c r="H47" s="41"/>
      <c r="I47" s="42"/>
      <c r="J47" s="43" t="str">
        <f t="shared" si="0"/>
        <v>-</v>
      </c>
      <c r="K47" s="43" t="str">
        <f t="shared" si="0"/>
        <v>-</v>
      </c>
    </row>
    <row r="48" spans="2:11">
      <c r="B48" s="60">
        <v>46036</v>
      </c>
      <c r="C48" s="31" t="s">
        <v>69</v>
      </c>
      <c r="D48" s="32">
        <v>1503</v>
      </c>
      <c r="E48" s="33">
        <v>693624.3</v>
      </c>
      <c r="F48" s="32"/>
      <c r="G48" s="32"/>
      <c r="H48" s="34"/>
      <c r="I48" s="35"/>
      <c r="J48" s="36" t="str">
        <f t="shared" si="0"/>
        <v>-</v>
      </c>
      <c r="K48" s="36" t="str">
        <f t="shared" si="0"/>
        <v>-</v>
      </c>
    </row>
    <row r="49" spans="2:11">
      <c r="B49" s="60"/>
      <c r="C49" s="37" t="s">
        <v>70</v>
      </c>
      <c r="D49" s="32">
        <v>1269</v>
      </c>
      <c r="E49" s="33">
        <v>664878.59</v>
      </c>
      <c r="F49" s="32"/>
      <c r="G49" s="32"/>
      <c r="H49" s="34"/>
      <c r="I49" s="35"/>
      <c r="J49" s="36" t="str">
        <f t="shared" si="0"/>
        <v>-</v>
      </c>
      <c r="K49" s="36" t="str">
        <f t="shared" si="0"/>
        <v>-</v>
      </c>
    </row>
    <row r="50" spans="2:11">
      <c r="B50" s="60"/>
      <c r="C50" s="31" t="s">
        <v>71</v>
      </c>
      <c r="D50" s="32">
        <v>831</v>
      </c>
      <c r="E50" s="33">
        <v>451106.03</v>
      </c>
      <c r="F50" s="32"/>
      <c r="G50" s="32"/>
      <c r="H50" s="34"/>
      <c r="I50" s="35"/>
      <c r="J50" s="36" t="str">
        <f t="shared" si="0"/>
        <v>-</v>
      </c>
      <c r="K50" s="36" t="str">
        <f t="shared" si="0"/>
        <v>-</v>
      </c>
    </row>
    <row r="51" spans="2:11">
      <c r="B51" s="60"/>
      <c r="C51" s="31" t="s">
        <v>72</v>
      </c>
      <c r="D51" s="32">
        <v>2308</v>
      </c>
      <c r="E51" s="33">
        <v>846466.38</v>
      </c>
      <c r="F51" s="32"/>
      <c r="G51" s="32"/>
      <c r="H51" s="34"/>
      <c r="I51" s="35"/>
      <c r="J51" s="36" t="str">
        <f t="shared" si="0"/>
        <v>-</v>
      </c>
      <c r="K51" s="36" t="str">
        <f t="shared" si="0"/>
        <v>-</v>
      </c>
    </row>
    <row r="52" spans="2:11">
      <c r="B52" s="60"/>
      <c r="C52" s="37" t="s">
        <v>73</v>
      </c>
      <c r="D52" s="32">
        <v>675</v>
      </c>
      <c r="E52" s="33">
        <v>214473.24</v>
      </c>
      <c r="F52" s="32"/>
      <c r="G52" s="32"/>
      <c r="H52" s="34"/>
      <c r="I52" s="35"/>
      <c r="J52" s="36" t="str">
        <f t="shared" si="0"/>
        <v>-</v>
      </c>
      <c r="K52" s="36" t="str">
        <f t="shared" si="0"/>
        <v>-</v>
      </c>
    </row>
    <row r="53" spans="2:11">
      <c r="B53" s="61"/>
      <c r="C53" s="38" t="s">
        <v>74</v>
      </c>
      <c r="D53" s="39">
        <v>444</v>
      </c>
      <c r="E53" s="40">
        <v>116464.96000000001</v>
      </c>
      <c r="F53" s="39"/>
      <c r="G53" s="39"/>
      <c r="H53" s="41"/>
      <c r="I53" s="42"/>
      <c r="J53" s="43" t="str">
        <f t="shared" si="0"/>
        <v>-</v>
      </c>
      <c r="K53" s="43" t="str">
        <f t="shared" si="0"/>
        <v>-</v>
      </c>
    </row>
    <row r="54" spans="2:11">
      <c r="B54" s="60">
        <v>46037</v>
      </c>
      <c r="C54" s="31" t="s">
        <v>69</v>
      </c>
      <c r="D54" s="32">
        <v>1504</v>
      </c>
      <c r="E54" s="33">
        <v>686062.82</v>
      </c>
      <c r="F54" s="32"/>
      <c r="G54" s="32"/>
      <c r="H54" s="34"/>
      <c r="I54" s="35"/>
      <c r="J54" s="36" t="str">
        <f t="shared" si="0"/>
        <v>-</v>
      </c>
      <c r="K54" s="36" t="str">
        <f t="shared" si="0"/>
        <v>-</v>
      </c>
    </row>
    <row r="55" spans="2:11">
      <c r="B55" s="60"/>
      <c r="C55" s="37" t="s">
        <v>70</v>
      </c>
      <c r="D55" s="32">
        <v>1284</v>
      </c>
      <c r="E55" s="33">
        <v>663304.22</v>
      </c>
      <c r="F55" s="32"/>
      <c r="G55" s="32"/>
      <c r="H55" s="34"/>
      <c r="I55" s="35"/>
      <c r="J55" s="36" t="str">
        <f t="shared" si="0"/>
        <v>-</v>
      </c>
      <c r="K55" s="36" t="str">
        <f t="shared" si="0"/>
        <v>-</v>
      </c>
    </row>
    <row r="56" spans="2:11">
      <c r="B56" s="60"/>
      <c r="C56" s="31" t="s">
        <v>71</v>
      </c>
      <c r="D56" s="32">
        <v>873</v>
      </c>
      <c r="E56" s="33">
        <v>467885.95</v>
      </c>
      <c r="F56" s="32"/>
      <c r="G56" s="32"/>
      <c r="H56" s="34"/>
      <c r="I56" s="35"/>
      <c r="J56" s="36" t="str">
        <f t="shared" si="0"/>
        <v>-</v>
      </c>
      <c r="K56" s="36" t="str">
        <f t="shared" si="0"/>
        <v>-</v>
      </c>
    </row>
    <row r="57" spans="2:11">
      <c r="B57" s="60"/>
      <c r="C57" s="31" t="s">
        <v>72</v>
      </c>
      <c r="D57" s="32">
        <v>2335</v>
      </c>
      <c r="E57" s="33">
        <v>855241.63</v>
      </c>
      <c r="F57" s="32"/>
      <c r="G57" s="32"/>
      <c r="H57" s="34"/>
      <c r="I57" s="35"/>
      <c r="J57" s="36" t="str">
        <f t="shared" si="0"/>
        <v>-</v>
      </c>
      <c r="K57" s="36" t="str">
        <f t="shared" si="0"/>
        <v>-</v>
      </c>
    </row>
    <row r="58" spans="2:11">
      <c r="B58" s="60"/>
      <c r="C58" s="37" t="s">
        <v>73</v>
      </c>
      <c r="D58" s="32">
        <v>682</v>
      </c>
      <c r="E58" s="33">
        <v>217235.3</v>
      </c>
      <c r="F58" s="32"/>
      <c r="G58" s="32"/>
      <c r="H58" s="34"/>
      <c r="I58" s="35"/>
      <c r="J58" s="36" t="str">
        <f t="shared" si="0"/>
        <v>-</v>
      </c>
      <c r="K58" s="36" t="str">
        <f t="shared" si="0"/>
        <v>-</v>
      </c>
    </row>
    <row r="59" spans="2:11">
      <c r="B59" s="61"/>
      <c r="C59" s="38" t="s">
        <v>74</v>
      </c>
      <c r="D59" s="39">
        <v>445</v>
      </c>
      <c r="E59" s="40">
        <v>116625.82</v>
      </c>
      <c r="F59" s="39"/>
      <c r="G59" s="39"/>
      <c r="H59" s="41"/>
      <c r="I59" s="42"/>
      <c r="J59" s="43" t="str">
        <f t="shared" si="0"/>
        <v>-</v>
      </c>
      <c r="K59" s="43" t="str">
        <f t="shared" si="0"/>
        <v>-</v>
      </c>
    </row>
    <row r="60" spans="2:11">
      <c r="B60" s="60">
        <v>46038</v>
      </c>
      <c r="C60" s="31" t="s">
        <v>69</v>
      </c>
      <c r="D60" s="32"/>
      <c r="E60" s="33"/>
      <c r="F60" s="32"/>
      <c r="G60" s="32"/>
      <c r="H60" s="34"/>
      <c r="I60" s="35"/>
      <c r="J60" s="36" t="str">
        <f t="shared" si="0"/>
        <v>-</v>
      </c>
      <c r="K60" s="36" t="str">
        <f t="shared" si="0"/>
        <v>-</v>
      </c>
    </row>
    <row r="61" spans="2:11">
      <c r="B61" s="60"/>
      <c r="C61" s="37" t="s">
        <v>70</v>
      </c>
      <c r="D61" s="32"/>
      <c r="E61" s="33"/>
      <c r="F61" s="32"/>
      <c r="G61" s="32"/>
      <c r="H61" s="34"/>
      <c r="I61" s="35"/>
      <c r="J61" s="36" t="str">
        <f t="shared" si="0"/>
        <v>-</v>
      </c>
      <c r="K61" s="36" t="str">
        <f t="shared" si="0"/>
        <v>-</v>
      </c>
    </row>
    <row r="62" spans="2:11">
      <c r="B62" s="60"/>
      <c r="C62" s="31" t="s">
        <v>71</v>
      </c>
      <c r="D62" s="32"/>
      <c r="E62" s="33"/>
      <c r="F62" s="32"/>
      <c r="G62" s="32"/>
      <c r="H62" s="34"/>
      <c r="I62" s="35"/>
      <c r="J62" s="36" t="str">
        <f t="shared" si="0"/>
        <v>-</v>
      </c>
      <c r="K62" s="36" t="str">
        <f t="shared" si="0"/>
        <v>-</v>
      </c>
    </row>
    <row r="63" spans="2:11">
      <c r="B63" s="60"/>
      <c r="C63" s="31" t="s">
        <v>72</v>
      </c>
      <c r="D63" s="32"/>
      <c r="E63" s="33"/>
      <c r="F63" s="32"/>
      <c r="G63" s="32"/>
      <c r="H63" s="34"/>
      <c r="I63" s="35"/>
      <c r="J63" s="36" t="str">
        <f t="shared" si="0"/>
        <v>-</v>
      </c>
      <c r="K63" s="36" t="str">
        <f t="shared" si="0"/>
        <v>-</v>
      </c>
    </row>
    <row r="64" spans="2:11">
      <c r="B64" s="60"/>
      <c r="C64" s="37" t="s">
        <v>73</v>
      </c>
      <c r="D64" s="32"/>
      <c r="E64" s="33"/>
      <c r="F64" s="32"/>
      <c r="G64" s="32"/>
      <c r="H64" s="34"/>
      <c r="I64" s="35"/>
      <c r="J64" s="36" t="str">
        <f t="shared" si="0"/>
        <v>-</v>
      </c>
      <c r="K64" s="36" t="str">
        <f t="shared" si="0"/>
        <v>-</v>
      </c>
    </row>
    <row r="65" spans="2:11">
      <c r="B65" s="61"/>
      <c r="C65" s="38" t="s">
        <v>74</v>
      </c>
      <c r="D65" s="39"/>
      <c r="E65" s="40"/>
      <c r="F65" s="39"/>
      <c r="G65" s="39"/>
      <c r="H65" s="41"/>
      <c r="I65" s="42"/>
      <c r="J65" s="43" t="str">
        <f t="shared" si="0"/>
        <v>-</v>
      </c>
      <c r="K65" s="43" t="str">
        <f t="shared" si="0"/>
        <v>-</v>
      </c>
    </row>
    <row r="66" spans="2:11">
      <c r="B66" s="60">
        <v>46041</v>
      </c>
      <c r="C66" s="31" t="s">
        <v>69</v>
      </c>
      <c r="D66" s="32"/>
      <c r="E66" s="33"/>
      <c r="F66" s="32"/>
      <c r="G66" s="32"/>
      <c r="H66" s="34"/>
      <c r="I66" s="35"/>
      <c r="J66" s="36" t="str">
        <f t="shared" si="0"/>
        <v>-</v>
      </c>
      <c r="K66" s="36" t="str">
        <f t="shared" si="0"/>
        <v>-</v>
      </c>
    </row>
    <row r="67" spans="2:11">
      <c r="B67" s="60"/>
      <c r="C67" s="37" t="s">
        <v>70</v>
      </c>
      <c r="D67" s="32"/>
      <c r="E67" s="33"/>
      <c r="F67" s="32"/>
      <c r="G67" s="32"/>
      <c r="H67" s="34"/>
      <c r="I67" s="35"/>
      <c r="J67" s="36" t="str">
        <f t="shared" si="0"/>
        <v>-</v>
      </c>
      <c r="K67" s="36" t="str">
        <f t="shared" si="0"/>
        <v>-</v>
      </c>
    </row>
    <row r="68" spans="2:11">
      <c r="B68" s="60"/>
      <c r="C68" s="31" t="s">
        <v>71</v>
      </c>
      <c r="D68" s="32"/>
      <c r="E68" s="33"/>
      <c r="F68" s="32"/>
      <c r="G68" s="32"/>
      <c r="H68" s="34"/>
      <c r="I68" s="35"/>
      <c r="J68" s="36" t="str">
        <f t="shared" si="0"/>
        <v>-</v>
      </c>
      <c r="K68" s="36" t="str">
        <f t="shared" si="0"/>
        <v>-</v>
      </c>
    </row>
    <row r="69" spans="2:11">
      <c r="B69" s="60"/>
      <c r="C69" s="31" t="s">
        <v>72</v>
      </c>
      <c r="D69" s="32"/>
      <c r="E69" s="33"/>
      <c r="F69" s="32"/>
      <c r="G69" s="32"/>
      <c r="H69" s="34"/>
      <c r="I69" s="35"/>
      <c r="J69" s="36" t="str">
        <f t="shared" si="0"/>
        <v>-</v>
      </c>
      <c r="K69" s="36" t="str">
        <f t="shared" si="0"/>
        <v>-</v>
      </c>
    </row>
    <row r="70" spans="2:11">
      <c r="B70" s="60"/>
      <c r="C70" s="37" t="s">
        <v>73</v>
      </c>
      <c r="D70" s="32"/>
      <c r="E70" s="33"/>
      <c r="F70" s="32"/>
      <c r="G70" s="32"/>
      <c r="H70" s="34"/>
      <c r="I70" s="35"/>
      <c r="J70" s="36" t="str">
        <f t="shared" si="0"/>
        <v>-</v>
      </c>
      <c r="K70" s="36" t="str">
        <f t="shared" si="0"/>
        <v>-</v>
      </c>
    </row>
    <row r="71" spans="2:11">
      <c r="B71" s="61"/>
      <c r="C71" s="38" t="s">
        <v>74</v>
      </c>
      <c r="D71" s="39"/>
      <c r="E71" s="40"/>
      <c r="F71" s="39"/>
      <c r="G71" s="39"/>
      <c r="H71" s="41"/>
      <c r="I71" s="42"/>
      <c r="J71" s="43" t="str">
        <f t="shared" ref="J71:K119" si="1">IFERROR(G71/F71,"-")</f>
        <v>-</v>
      </c>
      <c r="K71" s="43" t="str">
        <f t="shared" si="1"/>
        <v>-</v>
      </c>
    </row>
    <row r="72" spans="2:11">
      <c r="B72" s="60">
        <v>46042</v>
      </c>
      <c r="C72" s="31" t="s">
        <v>69</v>
      </c>
      <c r="D72" s="32"/>
      <c r="E72" s="33"/>
      <c r="F72" s="32"/>
      <c r="G72" s="32"/>
      <c r="H72" s="34"/>
      <c r="I72" s="35"/>
      <c r="J72" s="36" t="str">
        <f t="shared" si="1"/>
        <v>-</v>
      </c>
      <c r="K72" s="36" t="str">
        <f t="shared" si="1"/>
        <v>-</v>
      </c>
    </row>
    <row r="73" spans="2:11">
      <c r="B73" s="60"/>
      <c r="C73" s="37" t="s">
        <v>70</v>
      </c>
      <c r="D73" s="32"/>
      <c r="E73" s="33"/>
      <c r="F73" s="32"/>
      <c r="G73" s="32"/>
      <c r="H73" s="34"/>
      <c r="I73" s="35"/>
      <c r="J73" s="36" t="str">
        <f t="shared" si="1"/>
        <v>-</v>
      </c>
      <c r="K73" s="36" t="str">
        <f t="shared" si="1"/>
        <v>-</v>
      </c>
    </row>
    <row r="74" spans="2:11">
      <c r="B74" s="60"/>
      <c r="C74" s="31" t="s">
        <v>71</v>
      </c>
      <c r="D74" s="32"/>
      <c r="E74" s="33"/>
      <c r="F74" s="32"/>
      <c r="G74" s="32"/>
      <c r="H74" s="34"/>
      <c r="I74" s="35"/>
      <c r="J74" s="36" t="str">
        <f t="shared" si="1"/>
        <v>-</v>
      </c>
      <c r="K74" s="36" t="str">
        <f t="shared" si="1"/>
        <v>-</v>
      </c>
    </row>
    <row r="75" spans="2:11">
      <c r="B75" s="60"/>
      <c r="C75" s="31" t="s">
        <v>72</v>
      </c>
      <c r="D75" s="32"/>
      <c r="E75" s="33"/>
      <c r="F75" s="32"/>
      <c r="G75" s="32"/>
      <c r="H75" s="34"/>
      <c r="I75" s="35"/>
      <c r="J75" s="36" t="str">
        <f t="shared" si="1"/>
        <v>-</v>
      </c>
      <c r="K75" s="36" t="str">
        <f t="shared" si="1"/>
        <v>-</v>
      </c>
    </row>
    <row r="76" spans="2:11">
      <c r="B76" s="60"/>
      <c r="C76" s="37" t="s">
        <v>73</v>
      </c>
      <c r="D76" s="32"/>
      <c r="E76" s="33"/>
      <c r="F76" s="32"/>
      <c r="G76" s="32"/>
      <c r="H76" s="34"/>
      <c r="I76" s="35"/>
      <c r="J76" s="36" t="str">
        <f t="shared" si="1"/>
        <v>-</v>
      </c>
      <c r="K76" s="36" t="str">
        <f t="shared" si="1"/>
        <v>-</v>
      </c>
    </row>
    <row r="77" spans="2:11">
      <c r="B77" s="61"/>
      <c r="C77" s="38" t="s">
        <v>74</v>
      </c>
      <c r="D77" s="39"/>
      <c r="E77" s="40"/>
      <c r="F77" s="39"/>
      <c r="G77" s="39"/>
      <c r="H77" s="41"/>
      <c r="I77" s="42"/>
      <c r="J77" s="43" t="str">
        <f t="shared" si="1"/>
        <v>-</v>
      </c>
      <c r="K77" s="43" t="str">
        <f t="shared" si="1"/>
        <v>-</v>
      </c>
    </row>
    <row r="78" spans="2:11">
      <c r="B78" s="60">
        <v>46043</v>
      </c>
      <c r="C78" s="31" t="s">
        <v>69</v>
      </c>
      <c r="D78" s="32"/>
      <c r="E78" s="33"/>
      <c r="F78" s="32"/>
      <c r="G78" s="32"/>
      <c r="H78" s="34"/>
      <c r="I78" s="35"/>
      <c r="J78" s="36" t="str">
        <f t="shared" si="1"/>
        <v>-</v>
      </c>
      <c r="K78" s="36" t="str">
        <f t="shared" si="1"/>
        <v>-</v>
      </c>
    </row>
    <row r="79" spans="2:11">
      <c r="B79" s="60"/>
      <c r="C79" s="37" t="s">
        <v>70</v>
      </c>
      <c r="D79" s="32"/>
      <c r="E79" s="33"/>
      <c r="F79" s="32"/>
      <c r="G79" s="32"/>
      <c r="H79" s="34"/>
      <c r="I79" s="35"/>
      <c r="J79" s="36" t="str">
        <f t="shared" si="1"/>
        <v>-</v>
      </c>
      <c r="K79" s="36" t="str">
        <f t="shared" si="1"/>
        <v>-</v>
      </c>
    </row>
    <row r="80" spans="2:11">
      <c r="B80" s="60"/>
      <c r="C80" s="31" t="s">
        <v>71</v>
      </c>
      <c r="D80" s="32"/>
      <c r="E80" s="33"/>
      <c r="F80" s="32"/>
      <c r="G80" s="32"/>
      <c r="H80" s="34"/>
      <c r="I80" s="35"/>
      <c r="J80" s="36" t="str">
        <f t="shared" si="1"/>
        <v>-</v>
      </c>
      <c r="K80" s="36" t="str">
        <f t="shared" si="1"/>
        <v>-</v>
      </c>
    </row>
    <row r="81" spans="2:11">
      <c r="B81" s="60"/>
      <c r="C81" s="31" t="s">
        <v>72</v>
      </c>
      <c r="D81" s="32"/>
      <c r="E81" s="33"/>
      <c r="F81" s="32"/>
      <c r="G81" s="32"/>
      <c r="H81" s="34"/>
      <c r="I81" s="35"/>
      <c r="J81" s="36" t="str">
        <f t="shared" si="1"/>
        <v>-</v>
      </c>
      <c r="K81" s="36" t="str">
        <f t="shared" si="1"/>
        <v>-</v>
      </c>
    </row>
    <row r="82" spans="2:11">
      <c r="B82" s="60"/>
      <c r="C82" s="37" t="s">
        <v>73</v>
      </c>
      <c r="D82" s="32"/>
      <c r="E82" s="33"/>
      <c r="F82" s="32"/>
      <c r="G82" s="32"/>
      <c r="H82" s="34"/>
      <c r="I82" s="35"/>
      <c r="J82" s="36" t="str">
        <f t="shared" si="1"/>
        <v>-</v>
      </c>
      <c r="K82" s="36" t="str">
        <f t="shared" si="1"/>
        <v>-</v>
      </c>
    </row>
    <row r="83" spans="2:11">
      <c r="B83" s="61"/>
      <c r="C83" s="38" t="s">
        <v>74</v>
      </c>
      <c r="D83" s="39"/>
      <c r="E83" s="40"/>
      <c r="F83" s="39"/>
      <c r="G83" s="39"/>
      <c r="H83" s="41"/>
      <c r="I83" s="42"/>
      <c r="J83" s="43" t="str">
        <f t="shared" si="1"/>
        <v>-</v>
      </c>
      <c r="K83" s="43" t="str">
        <f t="shared" si="1"/>
        <v>-</v>
      </c>
    </row>
    <row r="84" spans="2:11">
      <c r="B84" s="60">
        <v>46044</v>
      </c>
      <c r="C84" s="31" t="s">
        <v>69</v>
      </c>
      <c r="D84" s="32"/>
      <c r="E84" s="33"/>
      <c r="F84" s="32"/>
      <c r="G84" s="32"/>
      <c r="H84" s="34"/>
      <c r="I84" s="35"/>
      <c r="J84" s="36" t="str">
        <f t="shared" si="1"/>
        <v>-</v>
      </c>
      <c r="K84" s="36" t="str">
        <f t="shared" si="1"/>
        <v>-</v>
      </c>
    </row>
    <row r="85" spans="2:11">
      <c r="B85" s="60"/>
      <c r="C85" s="37" t="s">
        <v>70</v>
      </c>
      <c r="D85" s="32"/>
      <c r="E85" s="33"/>
      <c r="F85" s="32"/>
      <c r="G85" s="32"/>
      <c r="H85" s="34"/>
      <c r="I85" s="35"/>
      <c r="J85" s="36" t="str">
        <f t="shared" si="1"/>
        <v>-</v>
      </c>
      <c r="K85" s="36" t="str">
        <f t="shared" si="1"/>
        <v>-</v>
      </c>
    </row>
    <row r="86" spans="2:11">
      <c r="B86" s="60"/>
      <c r="C86" s="31" t="s">
        <v>71</v>
      </c>
      <c r="D86" s="32"/>
      <c r="E86" s="33"/>
      <c r="F86" s="32"/>
      <c r="G86" s="32"/>
      <c r="H86" s="34"/>
      <c r="I86" s="35"/>
      <c r="J86" s="36" t="str">
        <f t="shared" si="1"/>
        <v>-</v>
      </c>
      <c r="K86" s="36" t="str">
        <f t="shared" si="1"/>
        <v>-</v>
      </c>
    </row>
    <row r="87" spans="2:11">
      <c r="B87" s="60"/>
      <c r="C87" s="31" t="s">
        <v>72</v>
      </c>
      <c r="D87" s="32"/>
      <c r="E87" s="33"/>
      <c r="F87" s="32"/>
      <c r="G87" s="32"/>
      <c r="H87" s="34"/>
      <c r="I87" s="35"/>
      <c r="J87" s="36" t="str">
        <f t="shared" si="1"/>
        <v>-</v>
      </c>
      <c r="K87" s="36" t="str">
        <f t="shared" si="1"/>
        <v>-</v>
      </c>
    </row>
    <row r="88" spans="2:11">
      <c r="B88" s="60"/>
      <c r="C88" s="37" t="s">
        <v>73</v>
      </c>
      <c r="D88" s="32"/>
      <c r="E88" s="33"/>
      <c r="F88" s="32"/>
      <c r="G88" s="32"/>
      <c r="H88" s="34"/>
      <c r="I88" s="35"/>
      <c r="J88" s="36" t="str">
        <f t="shared" si="1"/>
        <v>-</v>
      </c>
      <c r="K88" s="36" t="str">
        <f t="shared" si="1"/>
        <v>-</v>
      </c>
    </row>
    <row r="89" spans="2:11">
      <c r="B89" s="61"/>
      <c r="C89" s="38" t="s">
        <v>74</v>
      </c>
      <c r="D89" s="39"/>
      <c r="E89" s="40"/>
      <c r="F89" s="39"/>
      <c r="G89" s="39"/>
      <c r="H89" s="41"/>
      <c r="I89" s="42"/>
      <c r="J89" s="43" t="str">
        <f t="shared" si="1"/>
        <v>-</v>
      </c>
      <c r="K89" s="43" t="str">
        <f t="shared" si="1"/>
        <v>-</v>
      </c>
    </row>
    <row r="90" spans="2:11">
      <c r="B90" s="60">
        <v>46045</v>
      </c>
      <c r="C90" s="31" t="s">
        <v>69</v>
      </c>
      <c r="D90" s="32"/>
      <c r="E90" s="33"/>
      <c r="F90" s="32"/>
      <c r="G90" s="32"/>
      <c r="H90" s="34"/>
      <c r="I90" s="35"/>
      <c r="J90" s="36" t="str">
        <f t="shared" si="1"/>
        <v>-</v>
      </c>
      <c r="K90" s="36" t="str">
        <f t="shared" si="1"/>
        <v>-</v>
      </c>
    </row>
    <row r="91" spans="2:11">
      <c r="B91" s="60"/>
      <c r="C91" s="37" t="s">
        <v>70</v>
      </c>
      <c r="D91" s="32"/>
      <c r="E91" s="33"/>
      <c r="F91" s="32"/>
      <c r="G91" s="32"/>
      <c r="H91" s="34"/>
      <c r="I91" s="35"/>
      <c r="J91" s="36" t="str">
        <f t="shared" si="1"/>
        <v>-</v>
      </c>
      <c r="K91" s="36" t="str">
        <f t="shared" si="1"/>
        <v>-</v>
      </c>
    </row>
    <row r="92" spans="2:11">
      <c r="B92" s="60"/>
      <c r="C92" s="31" t="s">
        <v>71</v>
      </c>
      <c r="D92" s="32"/>
      <c r="E92" s="33"/>
      <c r="F92" s="32"/>
      <c r="G92" s="32"/>
      <c r="H92" s="34"/>
      <c r="I92" s="35"/>
      <c r="J92" s="36" t="str">
        <f t="shared" si="1"/>
        <v>-</v>
      </c>
      <c r="K92" s="36" t="str">
        <f t="shared" si="1"/>
        <v>-</v>
      </c>
    </row>
    <row r="93" spans="2:11">
      <c r="B93" s="60"/>
      <c r="C93" s="31" t="s">
        <v>72</v>
      </c>
      <c r="D93" s="32"/>
      <c r="E93" s="33"/>
      <c r="F93" s="32"/>
      <c r="G93" s="32"/>
      <c r="H93" s="34"/>
      <c r="I93" s="35"/>
      <c r="J93" s="36" t="str">
        <f t="shared" si="1"/>
        <v>-</v>
      </c>
      <c r="K93" s="36" t="str">
        <f t="shared" si="1"/>
        <v>-</v>
      </c>
    </row>
    <row r="94" spans="2:11">
      <c r="B94" s="60"/>
      <c r="C94" s="37" t="s">
        <v>73</v>
      </c>
      <c r="D94" s="32"/>
      <c r="E94" s="33"/>
      <c r="F94" s="32"/>
      <c r="G94" s="32"/>
      <c r="H94" s="34"/>
      <c r="I94" s="35"/>
      <c r="J94" s="36" t="str">
        <f t="shared" si="1"/>
        <v>-</v>
      </c>
      <c r="K94" s="36" t="str">
        <f t="shared" si="1"/>
        <v>-</v>
      </c>
    </row>
    <row r="95" spans="2:11">
      <c r="B95" s="61"/>
      <c r="C95" s="38" t="s">
        <v>74</v>
      </c>
      <c r="D95" s="39"/>
      <c r="E95" s="40"/>
      <c r="F95" s="39"/>
      <c r="G95" s="39"/>
      <c r="H95" s="41"/>
      <c r="I95" s="42"/>
      <c r="J95" s="43" t="str">
        <f t="shared" si="1"/>
        <v>-</v>
      </c>
      <c r="K95" s="43" t="str">
        <f t="shared" si="1"/>
        <v>-</v>
      </c>
    </row>
    <row r="96" spans="2:11">
      <c r="B96" s="60">
        <v>46048</v>
      </c>
      <c r="C96" s="31" t="s">
        <v>69</v>
      </c>
      <c r="D96" s="32"/>
      <c r="E96" s="33"/>
      <c r="F96" s="32"/>
      <c r="G96" s="32"/>
      <c r="H96" s="34"/>
      <c r="I96" s="35"/>
      <c r="J96" s="36" t="str">
        <f t="shared" si="1"/>
        <v>-</v>
      </c>
      <c r="K96" s="36" t="str">
        <f t="shared" si="1"/>
        <v>-</v>
      </c>
    </row>
    <row r="97" spans="2:11">
      <c r="B97" s="60"/>
      <c r="C97" s="37" t="s">
        <v>70</v>
      </c>
      <c r="D97" s="32"/>
      <c r="E97" s="33"/>
      <c r="F97" s="32"/>
      <c r="G97" s="32"/>
      <c r="H97" s="34"/>
      <c r="I97" s="35"/>
      <c r="J97" s="36" t="str">
        <f t="shared" si="1"/>
        <v>-</v>
      </c>
      <c r="K97" s="36" t="str">
        <f t="shared" si="1"/>
        <v>-</v>
      </c>
    </row>
    <row r="98" spans="2:11">
      <c r="B98" s="60"/>
      <c r="C98" s="31" t="s">
        <v>71</v>
      </c>
      <c r="D98" s="32"/>
      <c r="E98" s="33"/>
      <c r="F98" s="32"/>
      <c r="G98" s="32"/>
      <c r="H98" s="34"/>
      <c r="I98" s="35"/>
      <c r="J98" s="36" t="str">
        <f t="shared" si="1"/>
        <v>-</v>
      </c>
      <c r="K98" s="36" t="str">
        <f t="shared" si="1"/>
        <v>-</v>
      </c>
    </row>
    <row r="99" spans="2:11">
      <c r="B99" s="60"/>
      <c r="C99" s="31" t="s">
        <v>72</v>
      </c>
      <c r="D99" s="32"/>
      <c r="E99" s="33"/>
      <c r="F99" s="32"/>
      <c r="G99" s="32"/>
      <c r="H99" s="34"/>
      <c r="I99" s="35"/>
      <c r="J99" s="36" t="str">
        <f t="shared" si="1"/>
        <v>-</v>
      </c>
      <c r="K99" s="36" t="str">
        <f t="shared" si="1"/>
        <v>-</v>
      </c>
    </row>
    <row r="100" spans="2:11">
      <c r="B100" s="60"/>
      <c r="C100" s="37" t="s">
        <v>73</v>
      </c>
      <c r="D100" s="32"/>
      <c r="E100" s="33"/>
      <c r="F100" s="32"/>
      <c r="G100" s="32"/>
      <c r="H100" s="34"/>
      <c r="I100" s="35"/>
      <c r="J100" s="36" t="str">
        <f t="shared" si="1"/>
        <v>-</v>
      </c>
      <c r="K100" s="36" t="str">
        <f t="shared" si="1"/>
        <v>-</v>
      </c>
    </row>
    <row r="101" spans="2:11">
      <c r="B101" s="61"/>
      <c r="C101" s="38" t="s">
        <v>74</v>
      </c>
      <c r="D101" s="39"/>
      <c r="E101" s="40"/>
      <c r="F101" s="39"/>
      <c r="G101" s="39"/>
      <c r="H101" s="41"/>
      <c r="I101" s="42"/>
      <c r="J101" s="43" t="str">
        <f t="shared" si="1"/>
        <v>-</v>
      </c>
      <c r="K101" s="43" t="str">
        <f t="shared" si="1"/>
        <v>-</v>
      </c>
    </row>
    <row r="102" spans="2:11">
      <c r="B102" s="60">
        <v>46049</v>
      </c>
      <c r="C102" s="31" t="s">
        <v>69</v>
      </c>
      <c r="D102" s="32"/>
      <c r="E102" s="33"/>
      <c r="F102" s="32"/>
      <c r="G102" s="32"/>
      <c r="H102" s="34"/>
      <c r="I102" s="35"/>
      <c r="J102" s="36" t="str">
        <f t="shared" si="1"/>
        <v>-</v>
      </c>
      <c r="K102" s="36" t="str">
        <f t="shared" si="1"/>
        <v>-</v>
      </c>
    </row>
    <row r="103" spans="2:11">
      <c r="B103" s="60"/>
      <c r="C103" s="37" t="s">
        <v>70</v>
      </c>
      <c r="D103" s="32"/>
      <c r="E103" s="33"/>
      <c r="F103" s="32"/>
      <c r="G103" s="32"/>
      <c r="H103" s="34"/>
      <c r="I103" s="35"/>
      <c r="J103" s="36" t="str">
        <f t="shared" si="1"/>
        <v>-</v>
      </c>
      <c r="K103" s="36" t="str">
        <f t="shared" si="1"/>
        <v>-</v>
      </c>
    </row>
    <row r="104" spans="2:11">
      <c r="B104" s="60"/>
      <c r="C104" s="31" t="s">
        <v>71</v>
      </c>
      <c r="D104" s="32"/>
      <c r="E104" s="33"/>
      <c r="F104" s="32"/>
      <c r="G104" s="32"/>
      <c r="H104" s="34"/>
      <c r="I104" s="35"/>
      <c r="J104" s="36" t="str">
        <f t="shared" si="1"/>
        <v>-</v>
      </c>
      <c r="K104" s="36" t="str">
        <f t="shared" si="1"/>
        <v>-</v>
      </c>
    </row>
    <row r="105" spans="2:11">
      <c r="B105" s="60"/>
      <c r="C105" s="31" t="s">
        <v>72</v>
      </c>
      <c r="D105" s="32"/>
      <c r="E105" s="33"/>
      <c r="F105" s="32"/>
      <c r="G105" s="32"/>
      <c r="H105" s="34"/>
      <c r="I105" s="35"/>
      <c r="J105" s="36" t="str">
        <f t="shared" si="1"/>
        <v>-</v>
      </c>
      <c r="K105" s="36" t="str">
        <f t="shared" si="1"/>
        <v>-</v>
      </c>
    </row>
    <row r="106" spans="2:11">
      <c r="B106" s="60"/>
      <c r="C106" s="37" t="s">
        <v>73</v>
      </c>
      <c r="D106" s="32"/>
      <c r="E106" s="33"/>
      <c r="F106" s="32"/>
      <c r="G106" s="32"/>
      <c r="H106" s="34"/>
      <c r="I106" s="35"/>
      <c r="J106" s="36" t="str">
        <f t="shared" si="1"/>
        <v>-</v>
      </c>
      <c r="K106" s="36" t="str">
        <f t="shared" si="1"/>
        <v>-</v>
      </c>
    </row>
    <row r="107" spans="2:11">
      <c r="B107" s="61"/>
      <c r="C107" s="38" t="s">
        <v>74</v>
      </c>
      <c r="D107" s="39"/>
      <c r="E107" s="40"/>
      <c r="F107" s="39"/>
      <c r="G107" s="39"/>
      <c r="H107" s="41"/>
      <c r="I107" s="42"/>
      <c r="J107" s="43" t="str">
        <f t="shared" si="1"/>
        <v>-</v>
      </c>
      <c r="K107" s="43" t="str">
        <f t="shared" si="1"/>
        <v>-</v>
      </c>
    </row>
    <row r="108" spans="2:11">
      <c r="B108" s="60">
        <v>46050</v>
      </c>
      <c r="C108" s="31" t="s">
        <v>69</v>
      </c>
      <c r="D108" s="32"/>
      <c r="E108" s="33"/>
      <c r="F108" s="32"/>
      <c r="G108" s="32"/>
      <c r="H108" s="34"/>
      <c r="I108" s="35"/>
      <c r="J108" s="36" t="str">
        <f t="shared" si="1"/>
        <v>-</v>
      </c>
      <c r="K108" s="36" t="str">
        <f t="shared" si="1"/>
        <v>-</v>
      </c>
    </row>
    <row r="109" spans="2:11">
      <c r="B109" s="60"/>
      <c r="C109" s="37" t="s">
        <v>70</v>
      </c>
      <c r="D109" s="32"/>
      <c r="E109" s="33"/>
      <c r="F109" s="32"/>
      <c r="G109" s="32"/>
      <c r="H109" s="34"/>
      <c r="I109" s="35"/>
      <c r="J109" s="36" t="str">
        <f t="shared" si="1"/>
        <v>-</v>
      </c>
      <c r="K109" s="36" t="str">
        <f t="shared" si="1"/>
        <v>-</v>
      </c>
    </row>
    <row r="110" spans="2:11">
      <c r="B110" s="60"/>
      <c r="C110" s="31" t="s">
        <v>71</v>
      </c>
      <c r="D110" s="32"/>
      <c r="E110" s="33"/>
      <c r="F110" s="32"/>
      <c r="G110" s="32"/>
      <c r="H110" s="34"/>
      <c r="I110" s="35"/>
      <c r="J110" s="36" t="str">
        <f t="shared" si="1"/>
        <v>-</v>
      </c>
      <c r="K110" s="36" t="str">
        <f t="shared" si="1"/>
        <v>-</v>
      </c>
    </row>
    <row r="111" spans="2:11">
      <c r="B111" s="60"/>
      <c r="C111" s="31" t="s">
        <v>72</v>
      </c>
      <c r="D111" s="32"/>
      <c r="E111" s="33"/>
      <c r="F111" s="32"/>
      <c r="G111" s="32"/>
      <c r="H111" s="34"/>
      <c r="I111" s="35"/>
      <c r="J111" s="36" t="str">
        <f t="shared" si="1"/>
        <v>-</v>
      </c>
      <c r="K111" s="36" t="str">
        <f t="shared" si="1"/>
        <v>-</v>
      </c>
    </row>
    <row r="112" spans="2:11">
      <c r="B112" s="60"/>
      <c r="C112" s="37" t="s">
        <v>73</v>
      </c>
      <c r="D112" s="32"/>
      <c r="E112" s="33"/>
      <c r="F112" s="32"/>
      <c r="G112" s="32"/>
      <c r="H112" s="34"/>
      <c r="I112" s="35"/>
      <c r="J112" s="36" t="str">
        <f t="shared" si="1"/>
        <v>-</v>
      </c>
      <c r="K112" s="36" t="str">
        <f t="shared" si="1"/>
        <v>-</v>
      </c>
    </row>
    <row r="113" spans="2:11">
      <c r="B113" s="61"/>
      <c r="C113" s="38" t="s">
        <v>74</v>
      </c>
      <c r="D113" s="39"/>
      <c r="E113" s="40"/>
      <c r="F113" s="39"/>
      <c r="G113" s="39"/>
      <c r="H113" s="41"/>
      <c r="I113" s="42"/>
      <c r="J113" s="43" t="str">
        <f t="shared" si="1"/>
        <v>-</v>
      </c>
      <c r="K113" s="43" t="str">
        <f t="shared" si="1"/>
        <v>-</v>
      </c>
    </row>
    <row r="114" spans="2:11">
      <c r="B114" s="60">
        <v>46051</v>
      </c>
      <c r="C114" s="31" t="s">
        <v>69</v>
      </c>
      <c r="D114" s="32"/>
      <c r="E114" s="33"/>
      <c r="F114" s="32"/>
      <c r="G114" s="32"/>
      <c r="H114" s="34"/>
      <c r="I114" s="35"/>
      <c r="J114" s="36" t="str">
        <f t="shared" si="1"/>
        <v>-</v>
      </c>
      <c r="K114" s="36" t="str">
        <f t="shared" si="1"/>
        <v>-</v>
      </c>
    </row>
    <row r="115" spans="2:11">
      <c r="B115" s="60"/>
      <c r="C115" s="37" t="s">
        <v>70</v>
      </c>
      <c r="D115" s="32"/>
      <c r="E115" s="33"/>
      <c r="F115" s="32"/>
      <c r="G115" s="32"/>
      <c r="H115" s="34"/>
      <c r="I115" s="35"/>
      <c r="J115" s="36" t="str">
        <f t="shared" si="1"/>
        <v>-</v>
      </c>
      <c r="K115" s="36" t="str">
        <f t="shared" si="1"/>
        <v>-</v>
      </c>
    </row>
    <row r="116" spans="2:11">
      <c r="B116" s="60"/>
      <c r="C116" s="31" t="s">
        <v>71</v>
      </c>
      <c r="D116" s="32"/>
      <c r="E116" s="33"/>
      <c r="F116" s="32"/>
      <c r="G116" s="32"/>
      <c r="H116" s="34"/>
      <c r="I116" s="35"/>
      <c r="J116" s="36" t="str">
        <f t="shared" si="1"/>
        <v>-</v>
      </c>
      <c r="K116" s="36" t="str">
        <f t="shared" si="1"/>
        <v>-</v>
      </c>
    </row>
    <row r="117" spans="2:11">
      <c r="B117" s="60"/>
      <c r="C117" s="31" t="s">
        <v>72</v>
      </c>
      <c r="D117" s="32"/>
      <c r="E117" s="33"/>
      <c r="F117" s="32"/>
      <c r="G117" s="32"/>
      <c r="H117" s="34"/>
      <c r="I117" s="35"/>
      <c r="J117" s="36" t="str">
        <f t="shared" si="1"/>
        <v>-</v>
      </c>
      <c r="K117" s="36" t="str">
        <f t="shared" si="1"/>
        <v>-</v>
      </c>
    </row>
    <row r="118" spans="2:11">
      <c r="B118" s="60"/>
      <c r="C118" s="37" t="s">
        <v>73</v>
      </c>
      <c r="D118" s="32"/>
      <c r="E118" s="33"/>
      <c r="F118" s="32"/>
      <c r="G118" s="32"/>
      <c r="H118" s="34"/>
      <c r="I118" s="35"/>
      <c r="J118" s="36" t="str">
        <f t="shared" si="1"/>
        <v>-</v>
      </c>
      <c r="K118" s="36" t="str">
        <f t="shared" si="1"/>
        <v>-</v>
      </c>
    </row>
    <row r="119" spans="2:11">
      <c r="B119" s="61"/>
      <c r="C119" s="38" t="s">
        <v>74</v>
      </c>
      <c r="D119" s="39"/>
      <c r="E119" s="40"/>
      <c r="F119" s="39"/>
      <c r="G119" s="39"/>
      <c r="H119" s="41"/>
      <c r="I119" s="42"/>
      <c r="J119" s="43" t="str">
        <f t="shared" si="1"/>
        <v>-</v>
      </c>
      <c r="K119" s="43" t="str">
        <f t="shared" si="1"/>
        <v>-</v>
      </c>
    </row>
    <row r="120" spans="2:11">
      <c r="B120" s="60">
        <v>46052</v>
      </c>
      <c r="C120" s="31" t="s">
        <v>69</v>
      </c>
      <c r="D120" s="32"/>
      <c r="E120" s="33"/>
      <c r="F120" s="32"/>
      <c r="G120" s="32"/>
      <c r="H120" s="34"/>
      <c r="I120" s="35"/>
      <c r="J120" s="36" t="str">
        <f t="shared" ref="J120:J125" si="2">IFERROR(G120/F120,"-")</f>
        <v>-</v>
      </c>
      <c r="K120" s="36" t="str">
        <f t="shared" ref="K120:K125" si="3">IFERROR(H120/G120,"-")</f>
        <v>-</v>
      </c>
    </row>
    <row r="121" spans="2:11">
      <c r="B121" s="60"/>
      <c r="C121" s="37" t="s">
        <v>70</v>
      </c>
      <c r="D121" s="32"/>
      <c r="E121" s="33"/>
      <c r="F121" s="32"/>
      <c r="G121" s="32"/>
      <c r="H121" s="34"/>
      <c r="I121" s="35"/>
      <c r="J121" s="36" t="str">
        <f t="shared" si="2"/>
        <v>-</v>
      </c>
      <c r="K121" s="36" t="str">
        <f t="shared" si="3"/>
        <v>-</v>
      </c>
    </row>
    <row r="122" spans="2:11">
      <c r="B122" s="60"/>
      <c r="C122" s="31" t="s">
        <v>71</v>
      </c>
      <c r="D122" s="32"/>
      <c r="E122" s="33"/>
      <c r="F122" s="32"/>
      <c r="G122" s="32"/>
      <c r="H122" s="34"/>
      <c r="I122" s="35"/>
      <c r="J122" s="36" t="str">
        <f t="shared" si="2"/>
        <v>-</v>
      </c>
      <c r="K122" s="36" t="str">
        <f t="shared" si="3"/>
        <v>-</v>
      </c>
    </row>
    <row r="123" spans="2:11">
      <c r="B123" s="60"/>
      <c r="C123" s="31" t="s">
        <v>72</v>
      </c>
      <c r="D123" s="32"/>
      <c r="E123" s="33"/>
      <c r="F123" s="32"/>
      <c r="G123" s="32"/>
      <c r="H123" s="34"/>
      <c r="I123" s="35"/>
      <c r="J123" s="36" t="str">
        <f t="shared" si="2"/>
        <v>-</v>
      </c>
      <c r="K123" s="36" t="str">
        <f t="shared" si="3"/>
        <v>-</v>
      </c>
    </row>
    <row r="124" spans="2:11">
      <c r="B124" s="60"/>
      <c r="C124" s="37" t="s">
        <v>73</v>
      </c>
      <c r="D124" s="32"/>
      <c r="E124" s="33"/>
      <c r="F124" s="32"/>
      <c r="G124" s="32"/>
      <c r="H124" s="34"/>
      <c r="I124" s="35"/>
      <c r="J124" s="36" t="str">
        <f t="shared" si="2"/>
        <v>-</v>
      </c>
      <c r="K124" s="36" t="str">
        <f t="shared" si="3"/>
        <v>-</v>
      </c>
    </row>
    <row r="125" spans="2:11">
      <c r="B125" s="61"/>
      <c r="C125" s="38" t="s">
        <v>74</v>
      </c>
      <c r="D125" s="39"/>
      <c r="E125" s="40"/>
      <c r="F125" s="39"/>
      <c r="G125" s="39"/>
      <c r="H125" s="41"/>
      <c r="I125" s="42"/>
      <c r="J125" s="43" t="str">
        <f t="shared" si="2"/>
        <v>-</v>
      </c>
      <c r="K125" s="43" t="str">
        <f t="shared" si="3"/>
        <v>-</v>
      </c>
    </row>
  </sheetData>
  <mergeCells count="20">
    <mergeCell ref="B114:B119"/>
    <mergeCell ref="B120:B125"/>
    <mergeCell ref="B78:B83"/>
    <mergeCell ref="B84:B89"/>
    <mergeCell ref="B90:B95"/>
    <mergeCell ref="B96:B101"/>
    <mergeCell ref="B102:B107"/>
    <mergeCell ref="B108:B113"/>
    <mergeCell ref="B72:B77"/>
    <mergeCell ref="B6:B11"/>
    <mergeCell ref="B12:B17"/>
    <mergeCell ref="B18:B23"/>
    <mergeCell ref="B24:B29"/>
    <mergeCell ref="B30:B35"/>
    <mergeCell ref="B36:B41"/>
    <mergeCell ref="B42:B47"/>
    <mergeCell ref="B48:B53"/>
    <mergeCell ref="B54:B59"/>
    <mergeCell ref="B60:B65"/>
    <mergeCell ref="B66:B7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913A-5F93-48E4-B522-68145D9061D7}">
  <dimension ref="B5:K120"/>
  <sheetViews>
    <sheetView workbookViewId="0">
      <selection sqref="A1:XFD1048576"/>
    </sheetView>
  </sheetViews>
  <sheetFormatPr defaultColWidth="8.85546875" defaultRowHeight="15.75"/>
  <cols>
    <col min="1" max="1" width="8.85546875" style="30"/>
    <col min="2" max="2" width="13.28515625" style="30" bestFit="1" customWidth="1"/>
    <col min="3" max="3" width="16.28515625" style="30" bestFit="1" customWidth="1"/>
    <col min="4" max="4" width="6.5703125" style="30" bestFit="1" customWidth="1"/>
    <col min="5" max="6" width="18.28515625" style="30" bestFit="1" customWidth="1"/>
    <col min="7" max="7" width="14.140625" style="30" customWidth="1"/>
    <col min="8" max="8" width="16.28515625" style="30" bestFit="1" customWidth="1"/>
    <col min="9" max="9" width="17.28515625" style="30" bestFit="1" customWidth="1"/>
    <col min="10" max="10" width="7.7109375" style="30" bestFit="1" customWidth="1"/>
    <col min="11" max="11" width="12.42578125" style="30" bestFit="1" customWidth="1"/>
    <col min="12" max="16384" width="8.85546875" style="30"/>
  </cols>
  <sheetData>
    <row r="5" spans="2:11">
      <c r="B5" s="44" t="s">
        <v>59</v>
      </c>
      <c r="C5" s="44" t="s">
        <v>60</v>
      </c>
      <c r="D5" s="44" t="s">
        <v>61</v>
      </c>
      <c r="E5" s="44" t="s">
        <v>62</v>
      </c>
      <c r="F5" s="44" t="s">
        <v>63</v>
      </c>
      <c r="G5" s="44" t="s">
        <v>64</v>
      </c>
      <c r="H5" s="44" t="s">
        <v>65</v>
      </c>
      <c r="I5" s="44" t="s">
        <v>66</v>
      </c>
      <c r="J5" s="44" t="s">
        <v>67</v>
      </c>
      <c r="K5" s="44" t="s">
        <v>68</v>
      </c>
    </row>
    <row r="6" spans="2:11">
      <c r="B6" s="60">
        <v>45992</v>
      </c>
      <c r="C6" s="31" t="s">
        <v>69</v>
      </c>
      <c r="D6" s="32">
        <v>1035</v>
      </c>
      <c r="E6" s="33">
        <v>901177.64</v>
      </c>
      <c r="F6" s="32"/>
      <c r="G6" s="32"/>
      <c r="H6" s="34"/>
      <c r="I6" s="35"/>
      <c r="J6" s="36" t="str">
        <f>IFERROR(G6/F6,"-")</f>
        <v>-</v>
      </c>
      <c r="K6" s="36" t="str">
        <f>IFERROR(H6/G6,"-")</f>
        <v>-</v>
      </c>
    </row>
    <row r="7" spans="2:11">
      <c r="B7" s="60"/>
      <c r="C7" s="37" t="s">
        <v>70</v>
      </c>
      <c r="D7" s="32">
        <v>1126</v>
      </c>
      <c r="E7" s="33">
        <v>473920.48</v>
      </c>
      <c r="F7" s="32"/>
      <c r="G7" s="32"/>
      <c r="H7" s="34"/>
      <c r="I7" s="35"/>
      <c r="J7" s="36" t="str">
        <f t="shared" ref="J7:K70" si="0">IFERROR(G7/F7,"-")</f>
        <v>-</v>
      </c>
      <c r="K7" s="36" t="str">
        <f t="shared" si="0"/>
        <v>-</v>
      </c>
    </row>
    <row r="8" spans="2:11">
      <c r="B8" s="60"/>
      <c r="C8" s="31" t="s">
        <v>71</v>
      </c>
      <c r="D8" s="32">
        <v>1434</v>
      </c>
      <c r="E8" s="33">
        <v>522439.52</v>
      </c>
      <c r="F8" s="32"/>
      <c r="G8" s="32"/>
      <c r="H8" s="34"/>
      <c r="I8" s="35"/>
      <c r="J8" s="36" t="str">
        <f t="shared" si="0"/>
        <v>-</v>
      </c>
      <c r="K8" s="36" t="str">
        <f t="shared" si="0"/>
        <v>-</v>
      </c>
    </row>
    <row r="9" spans="2:11">
      <c r="B9" s="60"/>
      <c r="C9" s="31" t="s">
        <v>72</v>
      </c>
      <c r="D9" s="32">
        <v>408</v>
      </c>
      <c r="E9" s="33">
        <v>119871.92</v>
      </c>
      <c r="F9" s="32"/>
      <c r="G9" s="32"/>
      <c r="H9" s="34"/>
      <c r="I9" s="35"/>
      <c r="J9" s="36" t="str">
        <f t="shared" si="0"/>
        <v>-</v>
      </c>
      <c r="K9" s="36" t="str">
        <f t="shared" si="0"/>
        <v>-</v>
      </c>
    </row>
    <row r="10" spans="2:11">
      <c r="B10" s="60"/>
      <c r="C10" s="37" t="s">
        <v>73</v>
      </c>
      <c r="D10" s="32">
        <v>336</v>
      </c>
      <c r="E10" s="33">
        <v>91640.17</v>
      </c>
      <c r="F10" s="32"/>
      <c r="G10" s="32"/>
      <c r="H10" s="34"/>
      <c r="I10" s="35"/>
      <c r="J10" s="36" t="str">
        <f t="shared" si="0"/>
        <v>-</v>
      </c>
      <c r="K10" s="36" t="str">
        <f t="shared" si="0"/>
        <v>-</v>
      </c>
    </row>
    <row r="11" spans="2:11" ht="16.5" thickBot="1">
      <c r="B11" s="61"/>
      <c r="C11" s="38" t="s">
        <v>74</v>
      </c>
      <c r="D11" s="39">
        <v>183</v>
      </c>
      <c r="E11" s="40">
        <v>48555.5</v>
      </c>
      <c r="F11" s="39"/>
      <c r="G11" s="39"/>
      <c r="H11" s="41"/>
      <c r="I11" s="42"/>
      <c r="J11" s="43" t="str">
        <f t="shared" si="0"/>
        <v>-</v>
      </c>
      <c r="K11" s="43" t="str">
        <f t="shared" si="0"/>
        <v>-</v>
      </c>
    </row>
    <row r="12" spans="2:11" ht="16.5" thickTop="1">
      <c r="B12" s="60">
        <v>45993</v>
      </c>
      <c r="C12" s="31" t="s">
        <v>69</v>
      </c>
      <c r="D12" s="32">
        <v>1274</v>
      </c>
      <c r="E12" s="33">
        <v>1007860.12</v>
      </c>
      <c r="F12" s="32"/>
      <c r="G12" s="32"/>
      <c r="H12" s="34"/>
      <c r="I12" s="35"/>
      <c r="J12" s="36" t="str">
        <f t="shared" si="0"/>
        <v>-</v>
      </c>
      <c r="K12" s="36" t="str">
        <f t="shared" si="0"/>
        <v>-</v>
      </c>
    </row>
    <row r="13" spans="2:11">
      <c r="B13" s="60"/>
      <c r="C13" s="37" t="s">
        <v>70</v>
      </c>
      <c r="D13" s="32">
        <v>1164</v>
      </c>
      <c r="E13" s="33">
        <v>491379.57</v>
      </c>
      <c r="F13" s="32"/>
      <c r="G13" s="32"/>
      <c r="H13" s="34"/>
      <c r="I13" s="35"/>
      <c r="J13" s="36" t="str">
        <f t="shared" si="0"/>
        <v>-</v>
      </c>
      <c r="K13" s="36" t="str">
        <f t="shared" si="0"/>
        <v>-</v>
      </c>
    </row>
    <row r="14" spans="2:11">
      <c r="B14" s="60"/>
      <c r="C14" s="31" t="s">
        <v>71</v>
      </c>
      <c r="D14" s="32">
        <v>1526</v>
      </c>
      <c r="E14" s="33">
        <v>553563.26</v>
      </c>
      <c r="F14" s="32"/>
      <c r="G14" s="32"/>
      <c r="H14" s="34"/>
      <c r="I14" s="35"/>
      <c r="J14" s="36" t="str">
        <f t="shared" si="0"/>
        <v>-</v>
      </c>
      <c r="K14" s="36" t="str">
        <f t="shared" si="0"/>
        <v>-</v>
      </c>
    </row>
    <row r="15" spans="2:11">
      <c r="B15" s="60"/>
      <c r="C15" s="31" t="s">
        <v>72</v>
      </c>
      <c r="D15" s="32">
        <v>420</v>
      </c>
      <c r="E15" s="33">
        <v>123026.95</v>
      </c>
      <c r="F15" s="32"/>
      <c r="G15" s="32"/>
      <c r="H15" s="34"/>
      <c r="I15" s="35"/>
      <c r="J15" s="36" t="str">
        <f t="shared" si="0"/>
        <v>-</v>
      </c>
      <c r="K15" s="36" t="str">
        <f t="shared" si="0"/>
        <v>-</v>
      </c>
    </row>
    <row r="16" spans="2:11">
      <c r="B16" s="60"/>
      <c r="C16" s="37" t="s">
        <v>73</v>
      </c>
      <c r="D16" s="32">
        <v>332</v>
      </c>
      <c r="E16" s="33">
        <v>90686.49</v>
      </c>
      <c r="F16" s="32"/>
      <c r="G16" s="32"/>
      <c r="H16" s="34"/>
      <c r="I16" s="35"/>
      <c r="J16" s="36" t="str">
        <f t="shared" si="0"/>
        <v>-</v>
      </c>
      <c r="K16" s="36" t="str">
        <f t="shared" si="0"/>
        <v>-</v>
      </c>
    </row>
    <row r="17" spans="2:11" ht="16.5" thickBot="1">
      <c r="B17" s="61"/>
      <c r="C17" s="38" t="s">
        <v>74</v>
      </c>
      <c r="D17" s="39">
        <v>178</v>
      </c>
      <c r="E17" s="40">
        <v>47784.52</v>
      </c>
      <c r="F17" s="39"/>
      <c r="G17" s="39"/>
      <c r="H17" s="41"/>
      <c r="I17" s="42"/>
      <c r="J17" s="43" t="str">
        <f t="shared" si="0"/>
        <v>-</v>
      </c>
      <c r="K17" s="43" t="str">
        <f t="shared" si="0"/>
        <v>-</v>
      </c>
    </row>
    <row r="18" spans="2:11" ht="16.5" thickTop="1">
      <c r="B18" s="60">
        <v>45994</v>
      </c>
      <c r="C18" s="31" t="s">
        <v>69</v>
      </c>
      <c r="D18" s="32">
        <v>1205</v>
      </c>
      <c r="E18" s="33">
        <v>943981.17</v>
      </c>
      <c r="F18" s="32"/>
      <c r="G18" s="32"/>
      <c r="H18" s="34"/>
      <c r="I18" s="35"/>
      <c r="J18" s="36" t="str">
        <f t="shared" si="0"/>
        <v>-</v>
      </c>
      <c r="K18" s="36" t="str">
        <f t="shared" si="0"/>
        <v>-</v>
      </c>
    </row>
    <row r="19" spans="2:11">
      <c r="B19" s="60"/>
      <c r="C19" s="37" t="s">
        <v>70</v>
      </c>
      <c r="D19" s="32">
        <v>1140</v>
      </c>
      <c r="E19" s="33">
        <v>480003.09</v>
      </c>
      <c r="F19" s="32"/>
      <c r="G19" s="32"/>
      <c r="H19" s="34"/>
      <c r="I19" s="35"/>
      <c r="J19" s="36" t="str">
        <f t="shared" si="0"/>
        <v>-</v>
      </c>
      <c r="K19" s="36" t="str">
        <f t="shared" si="0"/>
        <v>-</v>
      </c>
    </row>
    <row r="20" spans="2:11">
      <c r="B20" s="60"/>
      <c r="C20" s="31" t="s">
        <v>71</v>
      </c>
      <c r="D20" s="32">
        <v>1436</v>
      </c>
      <c r="E20" s="33">
        <v>522643.52</v>
      </c>
      <c r="F20" s="32"/>
      <c r="G20" s="32"/>
      <c r="H20" s="34"/>
      <c r="I20" s="35"/>
      <c r="J20" s="36" t="str">
        <f t="shared" si="0"/>
        <v>-</v>
      </c>
      <c r="K20" s="36" t="str">
        <f t="shared" si="0"/>
        <v>-</v>
      </c>
    </row>
    <row r="21" spans="2:11">
      <c r="B21" s="60"/>
      <c r="C21" s="31" t="s">
        <v>72</v>
      </c>
      <c r="D21" s="32">
        <v>525</v>
      </c>
      <c r="E21" s="33">
        <v>157848.64000000001</v>
      </c>
      <c r="F21" s="32"/>
      <c r="G21" s="32"/>
      <c r="H21" s="34"/>
      <c r="I21" s="35"/>
      <c r="J21" s="36" t="str">
        <f t="shared" si="0"/>
        <v>-</v>
      </c>
      <c r="K21" s="36" t="str">
        <f t="shared" si="0"/>
        <v>-</v>
      </c>
    </row>
    <row r="22" spans="2:11">
      <c r="B22" s="60"/>
      <c r="C22" s="37" t="s">
        <v>73</v>
      </c>
      <c r="D22" s="32">
        <v>332</v>
      </c>
      <c r="E22" s="33">
        <v>90686.49</v>
      </c>
      <c r="F22" s="32"/>
      <c r="G22" s="32"/>
      <c r="H22" s="34"/>
      <c r="I22" s="35"/>
      <c r="J22" s="36" t="str">
        <f t="shared" si="0"/>
        <v>-</v>
      </c>
      <c r="K22" s="36" t="str">
        <f t="shared" si="0"/>
        <v>-</v>
      </c>
    </row>
    <row r="23" spans="2:11" ht="16.5" thickBot="1">
      <c r="B23" s="61"/>
      <c r="C23" s="38" t="s">
        <v>74</v>
      </c>
      <c r="D23" s="39">
        <v>178</v>
      </c>
      <c r="E23" s="40">
        <v>47784.52</v>
      </c>
      <c r="F23" s="39"/>
      <c r="G23" s="39"/>
      <c r="H23" s="41"/>
      <c r="I23" s="42"/>
      <c r="J23" s="43" t="str">
        <f t="shared" si="0"/>
        <v>-</v>
      </c>
      <c r="K23" s="43" t="str">
        <f t="shared" si="0"/>
        <v>-</v>
      </c>
    </row>
    <row r="24" spans="2:11" ht="16.5" thickTop="1">
      <c r="B24" s="60">
        <v>45995</v>
      </c>
      <c r="C24" s="31" t="s">
        <v>69</v>
      </c>
      <c r="D24" s="32">
        <v>1299</v>
      </c>
      <c r="E24" s="33">
        <v>954505.1</v>
      </c>
      <c r="F24" s="32"/>
      <c r="G24" s="32"/>
      <c r="H24" s="34"/>
      <c r="I24" s="35"/>
      <c r="J24" s="36" t="str">
        <f t="shared" si="0"/>
        <v>-</v>
      </c>
      <c r="K24" s="36" t="str">
        <f t="shared" si="0"/>
        <v>-</v>
      </c>
    </row>
    <row r="25" spans="2:11">
      <c r="B25" s="60"/>
      <c r="C25" s="37" t="s">
        <v>70</v>
      </c>
      <c r="D25" s="32">
        <v>1193</v>
      </c>
      <c r="E25" s="33">
        <v>489918.58</v>
      </c>
      <c r="F25" s="32"/>
      <c r="G25" s="32"/>
      <c r="H25" s="34"/>
      <c r="I25" s="35"/>
      <c r="J25" s="36" t="str">
        <f t="shared" si="0"/>
        <v>-</v>
      </c>
      <c r="K25" s="36" t="str">
        <f t="shared" si="0"/>
        <v>-</v>
      </c>
    </row>
    <row r="26" spans="2:11">
      <c r="B26" s="60"/>
      <c r="C26" s="31" t="s">
        <v>71</v>
      </c>
      <c r="D26" s="32">
        <v>1481</v>
      </c>
      <c r="E26" s="33">
        <v>530223.12</v>
      </c>
      <c r="F26" s="32"/>
      <c r="G26" s="32"/>
      <c r="H26" s="34"/>
      <c r="I26" s="35"/>
      <c r="J26" s="36" t="str">
        <f t="shared" si="0"/>
        <v>-</v>
      </c>
      <c r="K26" s="36" t="str">
        <f t="shared" si="0"/>
        <v>-</v>
      </c>
    </row>
    <row r="27" spans="2:11">
      <c r="B27" s="60"/>
      <c r="C27" s="31" t="s">
        <v>72</v>
      </c>
      <c r="D27" s="32">
        <v>535</v>
      </c>
      <c r="E27" s="33">
        <v>160840.76999999999</v>
      </c>
      <c r="F27" s="32"/>
      <c r="G27" s="32"/>
      <c r="H27" s="34"/>
      <c r="I27" s="35"/>
      <c r="J27" s="36" t="str">
        <f t="shared" si="0"/>
        <v>-</v>
      </c>
      <c r="K27" s="36" t="str">
        <f t="shared" si="0"/>
        <v>-</v>
      </c>
    </row>
    <row r="28" spans="2:11">
      <c r="B28" s="60"/>
      <c r="C28" s="37" t="s">
        <v>73</v>
      </c>
      <c r="D28" s="32">
        <v>324</v>
      </c>
      <c r="E28" s="33">
        <v>90226.2</v>
      </c>
      <c r="F28" s="32"/>
      <c r="G28" s="32"/>
      <c r="H28" s="34"/>
      <c r="I28" s="35"/>
      <c r="J28" s="36" t="str">
        <f t="shared" si="0"/>
        <v>-</v>
      </c>
      <c r="K28" s="36" t="str">
        <f t="shared" si="0"/>
        <v>-</v>
      </c>
    </row>
    <row r="29" spans="2:11" ht="16.5" thickBot="1">
      <c r="B29" s="61"/>
      <c r="C29" s="38" t="s">
        <v>74</v>
      </c>
      <c r="D29" s="39">
        <v>178</v>
      </c>
      <c r="E29" s="40">
        <v>47784.52</v>
      </c>
      <c r="F29" s="39"/>
      <c r="G29" s="39"/>
      <c r="H29" s="41"/>
      <c r="I29" s="42"/>
      <c r="J29" s="43" t="str">
        <f t="shared" si="0"/>
        <v>-</v>
      </c>
      <c r="K29" s="43" t="str">
        <f t="shared" si="0"/>
        <v>-</v>
      </c>
    </row>
    <row r="30" spans="2:11" ht="16.5" thickTop="1">
      <c r="B30" s="60">
        <v>45996</v>
      </c>
      <c r="C30" s="31" t="s">
        <v>69</v>
      </c>
      <c r="D30" s="32">
        <v>1278</v>
      </c>
      <c r="E30" s="33">
        <v>962503.03</v>
      </c>
      <c r="F30" s="32"/>
      <c r="G30" s="32"/>
      <c r="H30" s="34"/>
      <c r="I30" s="35"/>
      <c r="J30" s="36" t="str">
        <f t="shared" si="0"/>
        <v>-</v>
      </c>
      <c r="K30" s="36" t="str">
        <f t="shared" si="0"/>
        <v>-</v>
      </c>
    </row>
    <row r="31" spans="2:11">
      <c r="B31" s="60"/>
      <c r="C31" s="37" t="s">
        <v>70</v>
      </c>
      <c r="D31" s="32">
        <v>1204</v>
      </c>
      <c r="E31" s="33">
        <v>475686.76</v>
      </c>
      <c r="F31" s="32"/>
      <c r="G31" s="32"/>
      <c r="H31" s="34"/>
      <c r="I31" s="35"/>
      <c r="J31" s="36" t="str">
        <f t="shared" si="0"/>
        <v>-</v>
      </c>
      <c r="K31" s="36" t="str">
        <f t="shared" si="0"/>
        <v>-</v>
      </c>
    </row>
    <row r="32" spans="2:11">
      <c r="B32" s="60"/>
      <c r="C32" s="31" t="s">
        <v>71</v>
      </c>
      <c r="D32" s="32">
        <v>1483</v>
      </c>
      <c r="E32" s="33">
        <v>532091.62</v>
      </c>
      <c r="F32" s="32"/>
      <c r="G32" s="32"/>
      <c r="H32" s="34"/>
      <c r="I32" s="35"/>
      <c r="J32" s="36" t="str">
        <f t="shared" si="0"/>
        <v>-</v>
      </c>
      <c r="K32" s="36" t="str">
        <f t="shared" si="0"/>
        <v>-</v>
      </c>
    </row>
    <row r="33" spans="2:11">
      <c r="B33" s="60"/>
      <c r="C33" s="31" t="s">
        <v>72</v>
      </c>
      <c r="D33" s="32">
        <v>533</v>
      </c>
      <c r="E33" s="33">
        <v>161963.68</v>
      </c>
      <c r="F33" s="32"/>
      <c r="G33" s="32"/>
      <c r="H33" s="34"/>
      <c r="I33" s="35"/>
      <c r="J33" s="36" t="str">
        <f t="shared" si="0"/>
        <v>-</v>
      </c>
      <c r="K33" s="36" t="str">
        <f t="shared" si="0"/>
        <v>-</v>
      </c>
    </row>
    <row r="34" spans="2:11">
      <c r="B34" s="60"/>
      <c r="C34" s="37" t="s">
        <v>73</v>
      </c>
      <c r="D34" s="32">
        <v>328</v>
      </c>
      <c r="E34" s="33">
        <v>90682.68</v>
      </c>
      <c r="F34" s="32"/>
      <c r="G34" s="32"/>
      <c r="H34" s="34"/>
      <c r="I34" s="35"/>
      <c r="J34" s="36" t="str">
        <f t="shared" si="0"/>
        <v>-</v>
      </c>
      <c r="K34" s="36" t="str">
        <f t="shared" si="0"/>
        <v>-</v>
      </c>
    </row>
    <row r="35" spans="2:11" ht="16.5" thickBot="1">
      <c r="B35" s="61"/>
      <c r="C35" s="38" t="s">
        <v>74</v>
      </c>
      <c r="D35" s="39">
        <v>178</v>
      </c>
      <c r="E35" s="40">
        <v>47784.52</v>
      </c>
      <c r="F35" s="39"/>
      <c r="G35" s="39"/>
      <c r="H35" s="41"/>
      <c r="I35" s="42"/>
      <c r="J35" s="43" t="str">
        <f t="shared" si="0"/>
        <v>-</v>
      </c>
      <c r="K35" s="43" t="str">
        <f t="shared" si="0"/>
        <v>-</v>
      </c>
    </row>
    <row r="36" spans="2:11" ht="16.5" thickTop="1">
      <c r="B36" s="60">
        <v>45999</v>
      </c>
      <c r="C36" s="31" t="s">
        <v>69</v>
      </c>
      <c r="D36" s="32">
        <v>1032</v>
      </c>
      <c r="E36" s="33">
        <v>844155.96</v>
      </c>
      <c r="F36" s="32"/>
      <c r="G36" s="32"/>
      <c r="H36" s="34"/>
      <c r="I36" s="35"/>
      <c r="J36" s="36" t="str">
        <f t="shared" si="0"/>
        <v>-</v>
      </c>
      <c r="K36" s="36" t="str">
        <f t="shared" si="0"/>
        <v>-</v>
      </c>
    </row>
    <row r="37" spans="2:11">
      <c r="B37" s="60"/>
      <c r="C37" s="37" t="s">
        <v>70</v>
      </c>
      <c r="D37" s="32">
        <v>1315</v>
      </c>
      <c r="E37" s="33">
        <v>551659.1</v>
      </c>
      <c r="F37" s="32"/>
      <c r="G37" s="32"/>
      <c r="H37" s="34"/>
      <c r="I37" s="35"/>
      <c r="J37" s="36" t="str">
        <f t="shared" si="0"/>
        <v>-</v>
      </c>
      <c r="K37" s="36" t="str">
        <f t="shared" si="0"/>
        <v>-</v>
      </c>
    </row>
    <row r="38" spans="2:11">
      <c r="B38" s="60"/>
      <c r="C38" s="31" t="s">
        <v>71</v>
      </c>
      <c r="D38" s="32">
        <v>1496</v>
      </c>
      <c r="E38" s="33">
        <v>540069.23</v>
      </c>
      <c r="F38" s="32"/>
      <c r="G38" s="32"/>
      <c r="H38" s="34"/>
      <c r="I38" s="35"/>
      <c r="J38" s="36" t="str">
        <f t="shared" si="0"/>
        <v>-</v>
      </c>
      <c r="K38" s="36" t="str">
        <f t="shared" si="0"/>
        <v>-</v>
      </c>
    </row>
    <row r="39" spans="2:11">
      <c r="B39" s="60"/>
      <c r="C39" s="31" t="s">
        <v>72</v>
      </c>
      <c r="D39" s="32">
        <v>536</v>
      </c>
      <c r="E39" s="33">
        <v>162049</v>
      </c>
      <c r="F39" s="32"/>
      <c r="G39" s="32"/>
      <c r="H39" s="34"/>
      <c r="I39" s="35"/>
      <c r="J39" s="36" t="str">
        <f t="shared" si="0"/>
        <v>-</v>
      </c>
      <c r="K39" s="36" t="str">
        <f t="shared" si="0"/>
        <v>-</v>
      </c>
    </row>
    <row r="40" spans="2:11">
      <c r="B40" s="60"/>
      <c r="C40" s="37" t="s">
        <v>73</v>
      </c>
      <c r="D40" s="32">
        <v>328</v>
      </c>
      <c r="E40" s="33">
        <v>90682.68</v>
      </c>
      <c r="F40" s="32"/>
      <c r="G40" s="32"/>
      <c r="H40" s="34"/>
      <c r="I40" s="35"/>
      <c r="J40" s="36" t="str">
        <f t="shared" si="0"/>
        <v>-</v>
      </c>
      <c r="K40" s="36" t="str">
        <f t="shared" si="0"/>
        <v>-</v>
      </c>
    </row>
    <row r="41" spans="2:11" ht="16.5" thickBot="1">
      <c r="B41" s="61"/>
      <c r="C41" s="38" t="s">
        <v>74</v>
      </c>
      <c r="D41" s="39">
        <v>178</v>
      </c>
      <c r="E41" s="40">
        <v>47784.52</v>
      </c>
      <c r="F41" s="39"/>
      <c r="G41" s="39"/>
      <c r="H41" s="41"/>
      <c r="I41" s="42"/>
      <c r="J41" s="43" t="str">
        <f t="shared" si="0"/>
        <v>-</v>
      </c>
      <c r="K41" s="43" t="str">
        <f t="shared" si="0"/>
        <v>-</v>
      </c>
    </row>
    <row r="42" spans="2:11" ht="16.5" thickTop="1">
      <c r="B42" s="60">
        <v>46000</v>
      </c>
      <c r="C42" s="31" t="s">
        <v>69</v>
      </c>
      <c r="D42" s="32">
        <v>1145</v>
      </c>
      <c r="E42" s="33">
        <v>931341.14</v>
      </c>
      <c r="F42" s="32"/>
      <c r="G42" s="32"/>
      <c r="H42" s="34"/>
      <c r="I42" s="35"/>
      <c r="J42" s="36" t="str">
        <f t="shared" si="0"/>
        <v>-</v>
      </c>
      <c r="K42" s="36" t="str">
        <f t="shared" si="0"/>
        <v>-</v>
      </c>
    </row>
    <row r="43" spans="2:11">
      <c r="B43" s="60"/>
      <c r="C43" s="37" t="s">
        <v>70</v>
      </c>
      <c r="D43" s="32">
        <v>1199</v>
      </c>
      <c r="E43" s="33">
        <v>513067.27</v>
      </c>
      <c r="F43" s="32"/>
      <c r="G43" s="32"/>
      <c r="H43" s="34"/>
      <c r="I43" s="35"/>
      <c r="J43" s="36" t="str">
        <f t="shared" si="0"/>
        <v>-</v>
      </c>
      <c r="K43" s="36" t="str">
        <f t="shared" si="0"/>
        <v>-</v>
      </c>
    </row>
    <row r="44" spans="2:11">
      <c r="B44" s="60"/>
      <c r="C44" s="31" t="s">
        <v>71</v>
      </c>
      <c r="D44" s="32">
        <v>1591</v>
      </c>
      <c r="E44" s="33">
        <v>574207.4</v>
      </c>
      <c r="F44" s="32"/>
      <c r="G44" s="32"/>
      <c r="H44" s="34"/>
      <c r="I44" s="35"/>
      <c r="J44" s="36" t="str">
        <f t="shared" si="0"/>
        <v>-</v>
      </c>
      <c r="K44" s="36" t="str">
        <f t="shared" si="0"/>
        <v>-</v>
      </c>
    </row>
    <row r="45" spans="2:11">
      <c r="B45" s="60"/>
      <c r="C45" s="31" t="s">
        <v>72</v>
      </c>
      <c r="D45" s="32">
        <v>557</v>
      </c>
      <c r="E45" s="33">
        <v>170054.49</v>
      </c>
      <c r="F45" s="32"/>
      <c r="G45" s="32"/>
      <c r="H45" s="34"/>
      <c r="I45" s="35"/>
      <c r="J45" s="36" t="str">
        <f t="shared" si="0"/>
        <v>-</v>
      </c>
      <c r="K45" s="36" t="str">
        <f t="shared" si="0"/>
        <v>-</v>
      </c>
    </row>
    <row r="46" spans="2:11">
      <c r="B46" s="60"/>
      <c r="C46" s="37" t="s">
        <v>73</v>
      </c>
      <c r="D46" s="32">
        <v>321</v>
      </c>
      <c r="E46" s="33">
        <v>90680.76</v>
      </c>
      <c r="F46" s="32"/>
      <c r="G46" s="32"/>
      <c r="H46" s="34"/>
      <c r="I46" s="35"/>
      <c r="J46" s="36" t="str">
        <f t="shared" si="0"/>
        <v>-</v>
      </c>
      <c r="K46" s="36" t="str">
        <f t="shared" si="0"/>
        <v>-</v>
      </c>
    </row>
    <row r="47" spans="2:11" ht="16.5" thickBot="1">
      <c r="B47" s="61"/>
      <c r="C47" s="38" t="s">
        <v>74</v>
      </c>
      <c r="D47" s="39">
        <v>190</v>
      </c>
      <c r="E47" s="40">
        <v>49273.52</v>
      </c>
      <c r="F47" s="39"/>
      <c r="G47" s="39"/>
      <c r="H47" s="41"/>
      <c r="I47" s="42"/>
      <c r="J47" s="43" t="str">
        <f t="shared" si="0"/>
        <v>-</v>
      </c>
      <c r="K47" s="43" t="str">
        <f t="shared" si="0"/>
        <v>-</v>
      </c>
    </row>
    <row r="48" spans="2:11" ht="16.5" thickTop="1">
      <c r="B48" s="60">
        <v>46001</v>
      </c>
      <c r="C48" s="31" t="s">
        <v>69</v>
      </c>
      <c r="D48" s="32">
        <v>1143</v>
      </c>
      <c r="E48" s="33">
        <v>984456.51</v>
      </c>
      <c r="F48" s="32"/>
      <c r="G48" s="32"/>
      <c r="H48" s="34"/>
      <c r="I48" s="35"/>
      <c r="J48" s="36" t="str">
        <f t="shared" si="0"/>
        <v>-</v>
      </c>
      <c r="K48" s="36" t="str">
        <f t="shared" si="0"/>
        <v>-</v>
      </c>
    </row>
    <row r="49" spans="2:11">
      <c r="B49" s="60"/>
      <c r="C49" s="37" t="s">
        <v>70</v>
      </c>
      <c r="D49" s="32">
        <v>764</v>
      </c>
      <c r="E49" s="33">
        <v>340698.47</v>
      </c>
      <c r="F49" s="32"/>
      <c r="G49" s="32"/>
      <c r="H49" s="34"/>
      <c r="I49" s="35"/>
      <c r="J49" s="36" t="str">
        <f t="shared" si="0"/>
        <v>-</v>
      </c>
      <c r="K49" s="36" t="str">
        <f t="shared" si="0"/>
        <v>-</v>
      </c>
    </row>
    <row r="50" spans="2:11">
      <c r="B50" s="60"/>
      <c r="C50" s="31" t="s">
        <v>71</v>
      </c>
      <c r="D50" s="32">
        <v>2058</v>
      </c>
      <c r="E50" s="33">
        <v>758326.31</v>
      </c>
      <c r="F50" s="32"/>
      <c r="G50" s="32"/>
      <c r="H50" s="34"/>
      <c r="I50" s="35"/>
      <c r="J50" s="36" t="str">
        <f t="shared" si="0"/>
        <v>-</v>
      </c>
      <c r="K50" s="36" t="str">
        <f t="shared" si="0"/>
        <v>-</v>
      </c>
    </row>
    <row r="51" spans="2:11">
      <c r="B51" s="60"/>
      <c r="C51" s="31" t="s">
        <v>72</v>
      </c>
      <c r="D51" s="32">
        <v>553</v>
      </c>
      <c r="E51" s="33">
        <v>172730.03</v>
      </c>
      <c r="F51" s="32"/>
      <c r="G51" s="32"/>
      <c r="H51" s="34"/>
      <c r="I51" s="35"/>
      <c r="J51" s="36" t="str">
        <f t="shared" si="0"/>
        <v>-</v>
      </c>
      <c r="K51" s="36" t="str">
        <f t="shared" si="0"/>
        <v>-</v>
      </c>
    </row>
    <row r="52" spans="2:11">
      <c r="B52" s="60"/>
      <c r="C52" s="37" t="s">
        <v>73</v>
      </c>
      <c r="D52" s="32">
        <v>325</v>
      </c>
      <c r="E52" s="33">
        <v>91221.59</v>
      </c>
      <c r="F52" s="32"/>
      <c r="G52" s="32"/>
      <c r="H52" s="34"/>
      <c r="I52" s="35"/>
      <c r="J52" s="36" t="str">
        <f t="shared" si="0"/>
        <v>-</v>
      </c>
      <c r="K52" s="36" t="str">
        <f t="shared" si="0"/>
        <v>-</v>
      </c>
    </row>
    <row r="53" spans="2:11" ht="16.5" thickBot="1">
      <c r="B53" s="61"/>
      <c r="C53" s="38" t="s">
        <v>74</v>
      </c>
      <c r="D53" s="39">
        <v>196</v>
      </c>
      <c r="E53" s="40">
        <v>49860.5</v>
      </c>
      <c r="F53" s="39"/>
      <c r="G53" s="39"/>
      <c r="H53" s="41"/>
      <c r="I53" s="42"/>
      <c r="J53" s="43" t="str">
        <f t="shared" si="0"/>
        <v>-</v>
      </c>
      <c r="K53" s="43" t="str">
        <f t="shared" si="0"/>
        <v>-</v>
      </c>
    </row>
    <row r="54" spans="2:11" ht="16.5" thickTop="1">
      <c r="B54" s="60">
        <v>46002</v>
      </c>
      <c r="C54" s="31" t="s">
        <v>69</v>
      </c>
      <c r="D54" s="32">
        <v>1319</v>
      </c>
      <c r="E54" s="33">
        <v>875744.39</v>
      </c>
      <c r="F54" s="32"/>
      <c r="G54" s="32"/>
      <c r="H54" s="34"/>
      <c r="I54" s="35"/>
      <c r="J54" s="36" t="str">
        <f t="shared" si="0"/>
        <v>-</v>
      </c>
      <c r="K54" s="36" t="str">
        <f t="shared" si="0"/>
        <v>-</v>
      </c>
    </row>
    <row r="55" spans="2:11">
      <c r="B55" s="60"/>
      <c r="C55" s="37" t="s">
        <v>70</v>
      </c>
      <c r="D55" s="32">
        <v>827</v>
      </c>
      <c r="E55" s="33">
        <v>773993.53</v>
      </c>
      <c r="F55" s="32"/>
      <c r="G55" s="32"/>
      <c r="H55" s="34"/>
      <c r="I55" s="35"/>
      <c r="J55" s="36" t="str">
        <f t="shared" si="0"/>
        <v>-</v>
      </c>
      <c r="K55" s="36" t="str">
        <f t="shared" si="0"/>
        <v>-</v>
      </c>
    </row>
    <row r="56" spans="2:11">
      <c r="B56" s="60"/>
      <c r="C56" s="31" t="s">
        <v>71</v>
      </c>
      <c r="D56" s="32">
        <v>2081</v>
      </c>
      <c r="E56" s="33">
        <v>767035.86</v>
      </c>
      <c r="F56" s="32"/>
      <c r="G56" s="32"/>
      <c r="H56" s="34"/>
      <c r="I56" s="35"/>
      <c r="J56" s="36" t="str">
        <f t="shared" si="0"/>
        <v>-</v>
      </c>
      <c r="K56" s="36" t="str">
        <f t="shared" si="0"/>
        <v>-</v>
      </c>
    </row>
    <row r="57" spans="2:11">
      <c r="B57" s="60"/>
      <c r="C57" s="31" t="s">
        <v>72</v>
      </c>
      <c r="D57" s="32">
        <v>568</v>
      </c>
      <c r="E57" s="33">
        <v>178322.72</v>
      </c>
      <c r="F57" s="32"/>
      <c r="G57" s="32"/>
      <c r="H57" s="34"/>
      <c r="I57" s="35"/>
      <c r="J57" s="36" t="str">
        <f t="shared" si="0"/>
        <v>-</v>
      </c>
      <c r="K57" s="36" t="str">
        <f t="shared" si="0"/>
        <v>-</v>
      </c>
    </row>
    <row r="58" spans="2:11">
      <c r="B58" s="60"/>
      <c r="C58" s="37" t="s">
        <v>73</v>
      </c>
      <c r="D58" s="32">
        <v>275</v>
      </c>
      <c r="E58" s="33">
        <v>84375.59</v>
      </c>
      <c r="F58" s="32"/>
      <c r="G58" s="32"/>
      <c r="H58" s="34"/>
      <c r="I58" s="35"/>
      <c r="J58" s="36" t="str">
        <f t="shared" si="0"/>
        <v>-</v>
      </c>
      <c r="K58" s="36" t="str">
        <f t="shared" si="0"/>
        <v>-</v>
      </c>
    </row>
    <row r="59" spans="2:11" ht="16.5" thickBot="1">
      <c r="B59" s="61"/>
      <c r="C59" s="38" t="s">
        <v>74</v>
      </c>
      <c r="D59" s="39">
        <v>246</v>
      </c>
      <c r="E59" s="40">
        <v>56706.5</v>
      </c>
      <c r="F59" s="39"/>
      <c r="G59" s="39"/>
      <c r="H59" s="41"/>
      <c r="I59" s="42"/>
      <c r="J59" s="43" t="str">
        <f t="shared" si="0"/>
        <v>-</v>
      </c>
      <c r="K59" s="43" t="str">
        <f t="shared" si="0"/>
        <v>-</v>
      </c>
    </row>
    <row r="60" spans="2:11" ht="16.5" thickTop="1">
      <c r="B60" s="60">
        <v>46003</v>
      </c>
      <c r="C60" s="31" t="s">
        <v>69</v>
      </c>
      <c r="D60" s="32">
        <v>1260</v>
      </c>
      <c r="E60" s="33">
        <v>817974.05</v>
      </c>
      <c r="F60" s="32"/>
      <c r="G60" s="32"/>
      <c r="H60" s="34"/>
      <c r="I60" s="35"/>
      <c r="J60" s="36" t="str">
        <f t="shared" si="0"/>
        <v>-</v>
      </c>
      <c r="K60" s="36" t="str">
        <f t="shared" si="0"/>
        <v>-</v>
      </c>
    </row>
    <row r="61" spans="2:11">
      <c r="B61" s="60"/>
      <c r="C61" s="37" t="s">
        <v>70</v>
      </c>
      <c r="D61" s="32">
        <v>816</v>
      </c>
      <c r="E61" s="33">
        <v>771431.89</v>
      </c>
      <c r="F61" s="32"/>
      <c r="G61" s="32"/>
      <c r="H61" s="34"/>
      <c r="I61" s="35"/>
      <c r="J61" s="36" t="str">
        <f t="shared" si="0"/>
        <v>-</v>
      </c>
      <c r="K61" s="36" t="str">
        <f t="shared" si="0"/>
        <v>-</v>
      </c>
    </row>
    <row r="62" spans="2:11">
      <c r="B62" s="60"/>
      <c r="C62" s="31" t="s">
        <v>71</v>
      </c>
      <c r="D62" s="32">
        <v>1893</v>
      </c>
      <c r="E62" s="33">
        <v>694016.05</v>
      </c>
      <c r="F62" s="32"/>
      <c r="G62" s="32"/>
      <c r="H62" s="34"/>
      <c r="I62" s="35"/>
      <c r="J62" s="36" t="str">
        <f t="shared" si="0"/>
        <v>-</v>
      </c>
      <c r="K62" s="36" t="str">
        <f t="shared" si="0"/>
        <v>-</v>
      </c>
    </row>
    <row r="63" spans="2:11">
      <c r="B63" s="60"/>
      <c r="C63" s="31" t="s">
        <v>72</v>
      </c>
      <c r="D63" s="32">
        <v>556</v>
      </c>
      <c r="E63" s="33">
        <v>174531.55</v>
      </c>
      <c r="F63" s="32"/>
      <c r="G63" s="32"/>
      <c r="H63" s="34"/>
      <c r="I63" s="35"/>
      <c r="J63" s="36" t="str">
        <f t="shared" si="0"/>
        <v>-</v>
      </c>
      <c r="K63" s="36" t="str">
        <f t="shared" si="0"/>
        <v>-</v>
      </c>
    </row>
    <row r="64" spans="2:11">
      <c r="B64" s="60"/>
      <c r="C64" s="37" t="s">
        <v>73</v>
      </c>
      <c r="D64" s="32">
        <v>270</v>
      </c>
      <c r="E64" s="33">
        <v>8336840</v>
      </c>
      <c r="F64" s="32"/>
      <c r="G64" s="32"/>
      <c r="H64" s="34"/>
      <c r="I64" s="35"/>
      <c r="J64" s="36" t="str">
        <f t="shared" si="0"/>
        <v>-</v>
      </c>
      <c r="K64" s="36" t="str">
        <f t="shared" si="0"/>
        <v>-</v>
      </c>
    </row>
    <row r="65" spans="2:11" ht="16.5" thickBot="1">
      <c r="B65" s="61"/>
      <c r="C65" s="38" t="s">
        <v>74</v>
      </c>
      <c r="D65" s="39">
        <v>245</v>
      </c>
      <c r="E65" s="40">
        <v>55491.5</v>
      </c>
      <c r="F65" s="39"/>
      <c r="G65" s="39"/>
      <c r="H65" s="41"/>
      <c r="I65" s="42"/>
      <c r="J65" s="43" t="str">
        <f t="shared" si="0"/>
        <v>-</v>
      </c>
      <c r="K65" s="43" t="str">
        <f t="shared" si="0"/>
        <v>-</v>
      </c>
    </row>
    <row r="66" spans="2:11" ht="16.5" thickTop="1">
      <c r="B66" s="60">
        <v>46006</v>
      </c>
      <c r="C66" s="31" t="s">
        <v>69</v>
      </c>
      <c r="D66" s="32">
        <v>1106</v>
      </c>
      <c r="E66" s="33">
        <v>722870.74</v>
      </c>
      <c r="F66" s="32"/>
      <c r="G66" s="32"/>
      <c r="H66" s="34"/>
      <c r="I66" s="35"/>
      <c r="J66" s="36" t="str">
        <f t="shared" si="0"/>
        <v>-</v>
      </c>
      <c r="K66" s="36" t="str">
        <f t="shared" si="0"/>
        <v>-</v>
      </c>
    </row>
    <row r="67" spans="2:11">
      <c r="B67" s="60"/>
      <c r="C67" s="37" t="s">
        <v>70</v>
      </c>
      <c r="D67" s="32">
        <v>760</v>
      </c>
      <c r="E67" s="33">
        <v>770082.27</v>
      </c>
      <c r="F67" s="32"/>
      <c r="G67" s="32"/>
      <c r="H67" s="34"/>
      <c r="I67" s="35"/>
      <c r="J67" s="36" t="str">
        <f t="shared" si="0"/>
        <v>-</v>
      </c>
      <c r="K67" s="36" t="str">
        <f t="shared" si="0"/>
        <v>-</v>
      </c>
    </row>
    <row r="68" spans="2:11">
      <c r="B68" s="60"/>
      <c r="C68" s="31" t="s">
        <v>71</v>
      </c>
      <c r="D68" s="32">
        <v>2003</v>
      </c>
      <c r="E68" s="33">
        <v>740708.89</v>
      </c>
      <c r="F68" s="32"/>
      <c r="G68" s="32"/>
      <c r="H68" s="34"/>
      <c r="I68" s="35"/>
      <c r="J68" s="36" t="str">
        <f t="shared" si="0"/>
        <v>-</v>
      </c>
      <c r="K68" s="36" t="str">
        <f t="shared" si="0"/>
        <v>-</v>
      </c>
    </row>
    <row r="69" spans="2:11">
      <c r="B69" s="60"/>
      <c r="C69" s="31" t="s">
        <v>72</v>
      </c>
      <c r="D69" s="32">
        <v>378</v>
      </c>
      <c r="E69" s="33">
        <v>102633.67</v>
      </c>
      <c r="F69" s="32"/>
      <c r="G69" s="32"/>
      <c r="H69" s="34"/>
      <c r="I69" s="35"/>
      <c r="J69" s="36" t="str">
        <f t="shared" si="0"/>
        <v>-</v>
      </c>
      <c r="K69" s="36" t="str">
        <f t="shared" si="0"/>
        <v>-</v>
      </c>
    </row>
    <row r="70" spans="2:11">
      <c r="B70" s="60"/>
      <c r="C70" s="37" t="s">
        <v>73</v>
      </c>
      <c r="D70" s="32">
        <v>422</v>
      </c>
      <c r="E70" s="33">
        <v>150021.68</v>
      </c>
      <c r="F70" s="32"/>
      <c r="G70" s="32"/>
      <c r="H70" s="34"/>
      <c r="I70" s="35"/>
      <c r="J70" s="36" t="str">
        <f t="shared" si="0"/>
        <v>-</v>
      </c>
      <c r="K70" s="36" t="str">
        <f t="shared" si="0"/>
        <v>-</v>
      </c>
    </row>
    <row r="71" spans="2:11" ht="16.5" thickBot="1">
      <c r="B71" s="61"/>
      <c r="C71" s="38" t="s">
        <v>74</v>
      </c>
      <c r="D71" s="39">
        <v>269</v>
      </c>
      <c r="E71" s="40">
        <v>60413.760000000002</v>
      </c>
      <c r="F71" s="39"/>
      <c r="G71" s="39"/>
      <c r="H71" s="41"/>
      <c r="I71" s="42"/>
      <c r="J71" s="43" t="str">
        <f t="shared" ref="J71:K119" si="1">IFERROR(G71/F71,"-")</f>
        <v>-</v>
      </c>
      <c r="K71" s="43" t="str">
        <f t="shared" si="1"/>
        <v>-</v>
      </c>
    </row>
    <row r="72" spans="2:11" ht="16.5" thickTop="1">
      <c r="B72" s="60">
        <v>46007</v>
      </c>
      <c r="C72" s="31" t="s">
        <v>69</v>
      </c>
      <c r="D72" s="32">
        <v>1347</v>
      </c>
      <c r="E72" s="33">
        <v>906752.21</v>
      </c>
      <c r="F72" s="32"/>
      <c r="G72" s="32"/>
      <c r="H72" s="34"/>
      <c r="I72" s="35"/>
      <c r="J72" s="36" t="str">
        <f t="shared" si="1"/>
        <v>-</v>
      </c>
      <c r="K72" s="36" t="str">
        <f t="shared" si="1"/>
        <v>-</v>
      </c>
    </row>
    <row r="73" spans="2:11">
      <c r="B73" s="60"/>
      <c r="C73" s="37" t="s">
        <v>70</v>
      </c>
      <c r="D73" s="32">
        <v>812</v>
      </c>
      <c r="E73" s="33">
        <v>808455.02</v>
      </c>
      <c r="F73" s="32"/>
      <c r="G73" s="32"/>
      <c r="H73" s="34"/>
      <c r="I73" s="35"/>
      <c r="J73" s="36" t="str">
        <f t="shared" si="1"/>
        <v>-</v>
      </c>
      <c r="K73" s="36" t="str">
        <f t="shared" si="1"/>
        <v>-</v>
      </c>
    </row>
    <row r="74" spans="2:11">
      <c r="B74" s="60"/>
      <c r="C74" s="31" t="s">
        <v>71</v>
      </c>
      <c r="D74" s="32">
        <v>2035</v>
      </c>
      <c r="E74" s="33">
        <v>757370.89</v>
      </c>
      <c r="F74" s="32"/>
      <c r="G74" s="32"/>
      <c r="H74" s="34"/>
      <c r="I74" s="35"/>
      <c r="J74" s="36" t="str">
        <f t="shared" si="1"/>
        <v>-</v>
      </c>
      <c r="K74" s="36" t="str">
        <f t="shared" si="1"/>
        <v>-</v>
      </c>
    </row>
    <row r="75" spans="2:11">
      <c r="B75" s="60"/>
      <c r="C75" s="31" t="s">
        <v>72</v>
      </c>
      <c r="D75" s="32">
        <v>111</v>
      </c>
      <c r="E75" s="33">
        <v>105717.94</v>
      </c>
      <c r="F75" s="32"/>
      <c r="G75" s="32"/>
      <c r="H75" s="34"/>
      <c r="I75" s="35"/>
      <c r="J75" s="36" t="str">
        <f t="shared" si="1"/>
        <v>-</v>
      </c>
      <c r="K75" s="36" t="str">
        <f t="shared" si="1"/>
        <v>-</v>
      </c>
    </row>
    <row r="76" spans="2:11">
      <c r="B76" s="60"/>
      <c r="C76" s="37" t="s">
        <v>73</v>
      </c>
      <c r="D76" s="32">
        <v>422</v>
      </c>
      <c r="E76" s="33">
        <v>151084.51999999999</v>
      </c>
      <c r="F76" s="32"/>
      <c r="G76" s="32"/>
      <c r="H76" s="34"/>
      <c r="I76" s="35"/>
      <c r="J76" s="36" t="str">
        <f t="shared" si="1"/>
        <v>-</v>
      </c>
      <c r="K76" s="36" t="str">
        <f t="shared" si="1"/>
        <v>-</v>
      </c>
    </row>
    <row r="77" spans="2:11" ht="16.5" thickBot="1">
      <c r="B77" s="61"/>
      <c r="C77" s="38" t="s">
        <v>74</v>
      </c>
      <c r="D77" s="39">
        <v>276</v>
      </c>
      <c r="E77" s="40">
        <v>61071.33</v>
      </c>
      <c r="F77" s="39"/>
      <c r="G77" s="39"/>
      <c r="H77" s="41"/>
      <c r="I77" s="42"/>
      <c r="J77" s="43" t="str">
        <f t="shared" si="1"/>
        <v>-</v>
      </c>
      <c r="K77" s="43" t="str">
        <f t="shared" si="1"/>
        <v>-</v>
      </c>
    </row>
    <row r="78" spans="2:11" ht="16.5" thickTop="1">
      <c r="B78" s="60">
        <v>46008</v>
      </c>
      <c r="C78" s="31" t="s">
        <v>69</v>
      </c>
      <c r="D78" s="32">
        <v>1342</v>
      </c>
      <c r="E78" s="33">
        <v>923795.73</v>
      </c>
      <c r="F78" s="32"/>
      <c r="G78" s="32"/>
      <c r="H78" s="34"/>
      <c r="I78" s="35"/>
      <c r="J78" s="36" t="str">
        <f t="shared" si="1"/>
        <v>-</v>
      </c>
      <c r="K78" s="36" t="str">
        <f t="shared" si="1"/>
        <v>-</v>
      </c>
    </row>
    <row r="79" spans="2:11">
      <c r="B79" s="60"/>
      <c r="C79" s="37" t="s">
        <v>70</v>
      </c>
      <c r="D79" s="32">
        <v>787</v>
      </c>
      <c r="E79" s="33">
        <v>797952.42</v>
      </c>
      <c r="F79" s="32"/>
      <c r="G79" s="32"/>
      <c r="H79" s="34"/>
      <c r="I79" s="35"/>
      <c r="J79" s="36" t="str">
        <f t="shared" si="1"/>
        <v>-</v>
      </c>
      <c r="K79" s="36" t="str">
        <f t="shared" si="1"/>
        <v>-</v>
      </c>
    </row>
    <row r="80" spans="2:11">
      <c r="B80" s="60"/>
      <c r="C80" s="31" t="s">
        <v>71</v>
      </c>
      <c r="D80" s="32">
        <v>1900</v>
      </c>
      <c r="E80" s="33">
        <v>714116.86</v>
      </c>
      <c r="F80" s="32"/>
      <c r="G80" s="32"/>
      <c r="H80" s="34"/>
      <c r="I80" s="35"/>
      <c r="J80" s="36" t="str">
        <f t="shared" si="1"/>
        <v>-</v>
      </c>
      <c r="K80" s="36" t="str">
        <f t="shared" si="1"/>
        <v>-</v>
      </c>
    </row>
    <row r="81" spans="2:11">
      <c r="B81" s="60"/>
      <c r="C81" s="31" t="s">
        <v>72</v>
      </c>
      <c r="D81" s="32">
        <v>557</v>
      </c>
      <c r="E81" s="33">
        <v>169285.69</v>
      </c>
      <c r="F81" s="32"/>
      <c r="G81" s="32"/>
      <c r="H81" s="34"/>
      <c r="I81" s="35"/>
      <c r="J81" s="36" t="str">
        <f t="shared" si="1"/>
        <v>-</v>
      </c>
      <c r="K81" s="36" t="str">
        <f t="shared" si="1"/>
        <v>-</v>
      </c>
    </row>
    <row r="82" spans="2:11">
      <c r="B82" s="60"/>
      <c r="C82" s="37" t="s">
        <v>73</v>
      </c>
      <c r="D82" s="32">
        <v>407</v>
      </c>
      <c r="E82" s="33">
        <v>148543.6</v>
      </c>
      <c r="F82" s="32"/>
      <c r="G82" s="32"/>
      <c r="H82" s="34"/>
      <c r="I82" s="35"/>
      <c r="J82" s="36" t="str">
        <f t="shared" si="1"/>
        <v>-</v>
      </c>
      <c r="K82" s="36" t="str">
        <f t="shared" si="1"/>
        <v>-</v>
      </c>
    </row>
    <row r="83" spans="2:11" ht="16.5" thickBot="1">
      <c r="B83" s="61"/>
      <c r="C83" s="38" t="s">
        <v>74</v>
      </c>
      <c r="D83" s="39">
        <v>297</v>
      </c>
      <c r="E83" s="40">
        <v>64244.59</v>
      </c>
      <c r="F83" s="39"/>
      <c r="G83" s="39"/>
      <c r="H83" s="41"/>
      <c r="I83" s="42"/>
      <c r="J83" s="43" t="str">
        <f t="shared" si="1"/>
        <v>-</v>
      </c>
      <c r="K83" s="43" t="str">
        <f t="shared" si="1"/>
        <v>-</v>
      </c>
    </row>
    <row r="84" spans="2:11" ht="16.5" thickTop="1">
      <c r="B84" s="60">
        <v>46009</v>
      </c>
      <c r="C84" s="31" t="s">
        <v>69</v>
      </c>
      <c r="D84" s="32">
        <v>1397</v>
      </c>
      <c r="E84" s="33">
        <v>931874.18</v>
      </c>
      <c r="F84" s="32"/>
      <c r="G84" s="32"/>
      <c r="H84" s="34"/>
      <c r="I84" s="35"/>
      <c r="J84" s="36" t="str">
        <f t="shared" si="1"/>
        <v>-</v>
      </c>
      <c r="K84" s="36" t="str">
        <f t="shared" si="1"/>
        <v>-</v>
      </c>
    </row>
    <row r="85" spans="2:11">
      <c r="B85" s="60"/>
      <c r="C85" s="37" t="s">
        <v>70</v>
      </c>
      <c r="D85" s="32">
        <v>804</v>
      </c>
      <c r="E85" s="33">
        <v>802868.68</v>
      </c>
      <c r="F85" s="32"/>
      <c r="G85" s="32"/>
      <c r="H85" s="34"/>
      <c r="I85" s="35"/>
      <c r="J85" s="36" t="str">
        <f t="shared" si="1"/>
        <v>-</v>
      </c>
      <c r="K85" s="36" t="str">
        <f t="shared" si="1"/>
        <v>-</v>
      </c>
    </row>
    <row r="86" spans="2:11">
      <c r="B86" s="60"/>
      <c r="C86" s="31" t="s">
        <v>71</v>
      </c>
      <c r="D86" s="32">
        <v>1216</v>
      </c>
      <c r="E86" s="33">
        <v>538711.35</v>
      </c>
      <c r="F86" s="32"/>
      <c r="G86" s="32"/>
      <c r="H86" s="34"/>
      <c r="I86" s="35"/>
      <c r="J86" s="36" t="str">
        <f t="shared" si="1"/>
        <v>-</v>
      </c>
      <c r="K86" s="36" t="str">
        <f t="shared" si="1"/>
        <v>-</v>
      </c>
    </row>
    <row r="87" spans="2:11">
      <c r="B87" s="60"/>
      <c r="C87" s="31" t="s">
        <v>72</v>
      </c>
      <c r="D87" s="32">
        <v>1233</v>
      </c>
      <c r="E87" s="33">
        <v>335430.25</v>
      </c>
      <c r="F87" s="32"/>
      <c r="G87" s="32"/>
      <c r="H87" s="34"/>
      <c r="I87" s="35"/>
      <c r="J87" s="36" t="str">
        <f t="shared" si="1"/>
        <v>-</v>
      </c>
      <c r="K87" s="36" t="str">
        <f t="shared" si="1"/>
        <v>-</v>
      </c>
    </row>
    <row r="88" spans="2:11">
      <c r="B88" s="60"/>
      <c r="C88" s="37" t="s">
        <v>73</v>
      </c>
      <c r="D88" s="32">
        <v>379</v>
      </c>
      <c r="E88" s="33">
        <v>140901.72</v>
      </c>
      <c r="F88" s="32"/>
      <c r="G88" s="32"/>
      <c r="H88" s="34"/>
      <c r="I88" s="35"/>
      <c r="J88" s="36" t="str">
        <f t="shared" si="1"/>
        <v>-</v>
      </c>
      <c r="K88" s="36" t="str">
        <f t="shared" si="1"/>
        <v>-</v>
      </c>
    </row>
    <row r="89" spans="2:11" ht="16.5" thickBot="1">
      <c r="B89" s="61"/>
      <c r="C89" s="38" t="s">
        <v>74</v>
      </c>
      <c r="D89" s="39">
        <v>335</v>
      </c>
      <c r="E89" s="40">
        <v>73246.63</v>
      </c>
      <c r="F89" s="39"/>
      <c r="G89" s="39"/>
      <c r="H89" s="41"/>
      <c r="I89" s="42"/>
      <c r="J89" s="43" t="str">
        <f t="shared" si="1"/>
        <v>-</v>
      </c>
      <c r="K89" s="43" t="str">
        <f t="shared" si="1"/>
        <v>-</v>
      </c>
    </row>
    <row r="90" spans="2:11" ht="16.5" thickTop="1">
      <c r="B90" s="60">
        <v>46010</v>
      </c>
      <c r="C90" s="31" t="s">
        <v>69</v>
      </c>
      <c r="D90" s="32">
        <v>1340</v>
      </c>
      <c r="E90" s="33">
        <v>627743.51</v>
      </c>
      <c r="F90" s="32"/>
      <c r="G90" s="32"/>
      <c r="H90" s="34"/>
      <c r="I90" s="35"/>
      <c r="J90" s="36" t="str">
        <f t="shared" si="1"/>
        <v>-</v>
      </c>
      <c r="K90" s="36" t="str">
        <f t="shared" si="1"/>
        <v>-</v>
      </c>
    </row>
    <row r="91" spans="2:11">
      <c r="B91" s="60"/>
      <c r="C91" s="37" t="s">
        <v>70</v>
      </c>
      <c r="D91" s="32">
        <v>808</v>
      </c>
      <c r="E91" s="33">
        <v>358856.31</v>
      </c>
      <c r="F91" s="32"/>
      <c r="G91" s="32"/>
      <c r="H91" s="34"/>
      <c r="I91" s="35"/>
      <c r="J91" s="36" t="str">
        <f t="shared" si="1"/>
        <v>-</v>
      </c>
      <c r="K91" s="36" t="str">
        <f t="shared" si="1"/>
        <v>-</v>
      </c>
    </row>
    <row r="92" spans="2:11">
      <c r="B92" s="60"/>
      <c r="C92" s="31" t="s">
        <v>71</v>
      </c>
      <c r="D92" s="32">
        <v>1199</v>
      </c>
      <c r="E92" s="33">
        <v>484411.79</v>
      </c>
      <c r="F92" s="32"/>
      <c r="G92" s="32"/>
      <c r="H92" s="34"/>
      <c r="I92" s="35"/>
      <c r="J92" s="36" t="str">
        <f t="shared" si="1"/>
        <v>-</v>
      </c>
      <c r="K92" s="36" t="str">
        <f t="shared" si="1"/>
        <v>-</v>
      </c>
    </row>
    <row r="93" spans="2:11">
      <c r="B93" s="60"/>
      <c r="C93" s="31" t="s">
        <v>72</v>
      </c>
      <c r="D93" s="32">
        <v>1258</v>
      </c>
      <c r="E93" s="33">
        <v>344109.63</v>
      </c>
      <c r="F93" s="32"/>
      <c r="G93" s="32"/>
      <c r="H93" s="34"/>
      <c r="I93" s="35"/>
      <c r="J93" s="36" t="str">
        <f t="shared" si="1"/>
        <v>-</v>
      </c>
      <c r="K93" s="36" t="str">
        <f t="shared" si="1"/>
        <v>-</v>
      </c>
    </row>
    <row r="94" spans="2:11">
      <c r="B94" s="60"/>
      <c r="C94" s="37" t="s">
        <v>73</v>
      </c>
      <c r="D94" s="32">
        <v>379</v>
      </c>
      <c r="E94" s="33">
        <v>129530.74</v>
      </c>
      <c r="F94" s="32"/>
      <c r="G94" s="32"/>
      <c r="H94" s="34"/>
      <c r="I94" s="35"/>
      <c r="J94" s="36" t="str">
        <f t="shared" si="1"/>
        <v>-</v>
      </c>
      <c r="K94" s="36" t="str">
        <f t="shared" si="1"/>
        <v>-</v>
      </c>
    </row>
    <row r="95" spans="2:11" ht="16.5" thickBot="1">
      <c r="B95" s="61"/>
      <c r="C95" s="38" t="s">
        <v>74</v>
      </c>
      <c r="D95" s="39">
        <v>339</v>
      </c>
      <c r="E95" s="40">
        <v>74550.77</v>
      </c>
      <c r="F95" s="39"/>
      <c r="G95" s="39"/>
      <c r="H95" s="41"/>
      <c r="I95" s="42"/>
      <c r="J95" s="43" t="str">
        <f t="shared" si="1"/>
        <v>-</v>
      </c>
      <c r="K95" s="43" t="str">
        <f t="shared" si="1"/>
        <v>-</v>
      </c>
    </row>
    <row r="96" spans="2:11" ht="16.5" thickTop="1">
      <c r="B96" s="60">
        <v>46013</v>
      </c>
      <c r="C96" s="31" t="s">
        <v>69</v>
      </c>
      <c r="D96" s="32">
        <v>1195</v>
      </c>
      <c r="E96" s="33">
        <v>578649.97</v>
      </c>
      <c r="F96" s="32"/>
      <c r="G96" s="32"/>
      <c r="H96" s="34"/>
      <c r="I96" s="35"/>
      <c r="J96" s="36" t="str">
        <f t="shared" si="1"/>
        <v>-</v>
      </c>
      <c r="K96" s="36" t="str">
        <f t="shared" si="1"/>
        <v>-</v>
      </c>
    </row>
    <row r="97" spans="2:11">
      <c r="B97" s="60"/>
      <c r="C97" s="37" t="s">
        <v>70</v>
      </c>
      <c r="D97" s="32">
        <v>826</v>
      </c>
      <c r="E97" s="33">
        <v>371833.72</v>
      </c>
      <c r="F97" s="32"/>
      <c r="G97" s="32"/>
      <c r="H97" s="34"/>
      <c r="I97" s="35"/>
      <c r="J97" s="36" t="str">
        <f t="shared" si="1"/>
        <v>-</v>
      </c>
      <c r="K97" s="36" t="str">
        <f t="shared" si="1"/>
        <v>-</v>
      </c>
    </row>
    <row r="98" spans="2:11">
      <c r="B98" s="60"/>
      <c r="C98" s="31" t="s">
        <v>71</v>
      </c>
      <c r="D98" s="32">
        <v>1216</v>
      </c>
      <c r="E98" s="33">
        <v>480942.3</v>
      </c>
      <c r="F98" s="32"/>
      <c r="G98" s="32"/>
      <c r="H98" s="34"/>
      <c r="I98" s="35"/>
      <c r="J98" s="36" t="str">
        <f t="shared" si="1"/>
        <v>-</v>
      </c>
      <c r="K98" s="36" t="str">
        <f t="shared" si="1"/>
        <v>-</v>
      </c>
    </row>
    <row r="99" spans="2:11">
      <c r="B99" s="60"/>
      <c r="C99" s="31" t="s">
        <v>72</v>
      </c>
      <c r="D99" s="32">
        <v>1216</v>
      </c>
      <c r="E99" s="33">
        <v>323057.23</v>
      </c>
      <c r="F99" s="32"/>
      <c r="G99" s="32"/>
      <c r="H99" s="34"/>
      <c r="I99" s="35"/>
      <c r="J99" s="36" t="str">
        <f t="shared" si="1"/>
        <v>-</v>
      </c>
      <c r="K99" s="36" t="str">
        <f t="shared" si="1"/>
        <v>-</v>
      </c>
    </row>
    <row r="100" spans="2:11">
      <c r="B100" s="60"/>
      <c r="C100" s="37" t="s">
        <v>73</v>
      </c>
      <c r="D100" s="32">
        <v>395</v>
      </c>
      <c r="E100" s="33">
        <v>108090.05</v>
      </c>
      <c r="F100" s="32"/>
      <c r="G100" s="32"/>
      <c r="H100" s="34"/>
      <c r="I100" s="35"/>
      <c r="J100" s="36" t="str">
        <f t="shared" si="1"/>
        <v>-</v>
      </c>
      <c r="K100" s="36" t="str">
        <f t="shared" si="1"/>
        <v>-</v>
      </c>
    </row>
    <row r="101" spans="2:11" ht="16.5" thickBot="1">
      <c r="B101" s="61"/>
      <c r="C101" s="38" t="s">
        <v>74</v>
      </c>
      <c r="D101" s="39">
        <v>349</v>
      </c>
      <c r="E101" s="40">
        <v>76477.48</v>
      </c>
      <c r="F101" s="39"/>
      <c r="G101" s="39"/>
      <c r="H101" s="41"/>
      <c r="I101" s="42"/>
      <c r="J101" s="43" t="str">
        <f t="shared" si="1"/>
        <v>-</v>
      </c>
      <c r="K101" s="43" t="str">
        <f t="shared" si="1"/>
        <v>-</v>
      </c>
    </row>
    <row r="102" spans="2:11" ht="16.5" thickTop="1">
      <c r="B102" s="60">
        <v>46014</v>
      </c>
      <c r="C102" s="31" t="s">
        <v>69</v>
      </c>
      <c r="D102" s="32">
        <v>2231</v>
      </c>
      <c r="E102" s="33">
        <v>1097605.31</v>
      </c>
      <c r="F102" s="32"/>
      <c r="G102" s="32"/>
      <c r="H102" s="34"/>
      <c r="I102" s="35"/>
      <c r="J102" s="36" t="str">
        <f t="shared" si="1"/>
        <v>-</v>
      </c>
      <c r="K102" s="36" t="str">
        <f t="shared" si="1"/>
        <v>-</v>
      </c>
    </row>
    <row r="103" spans="2:11">
      <c r="B103" s="60"/>
      <c r="C103" s="37" t="s">
        <v>70</v>
      </c>
      <c r="D103" s="32">
        <v>902</v>
      </c>
      <c r="E103" s="33">
        <v>465203.71</v>
      </c>
      <c r="F103" s="32"/>
      <c r="G103" s="32"/>
      <c r="H103" s="34"/>
      <c r="I103" s="35"/>
      <c r="J103" s="36" t="str">
        <f t="shared" si="1"/>
        <v>-</v>
      </c>
      <c r="K103" s="36" t="str">
        <f t="shared" si="1"/>
        <v>-</v>
      </c>
    </row>
    <row r="104" spans="2:11">
      <c r="B104" s="60"/>
      <c r="C104" s="31" t="s">
        <v>71</v>
      </c>
      <c r="D104" s="32">
        <v>1283</v>
      </c>
      <c r="E104" s="33">
        <v>513392.41</v>
      </c>
      <c r="F104" s="32"/>
      <c r="G104" s="32"/>
      <c r="H104" s="34"/>
      <c r="I104" s="35"/>
      <c r="J104" s="36" t="str">
        <f t="shared" si="1"/>
        <v>-</v>
      </c>
      <c r="K104" s="36" t="str">
        <f t="shared" si="1"/>
        <v>-</v>
      </c>
    </row>
    <row r="105" spans="2:11">
      <c r="B105" s="60"/>
      <c r="C105" s="31" t="s">
        <v>72</v>
      </c>
      <c r="D105" s="32">
        <v>1251</v>
      </c>
      <c r="E105" s="33">
        <v>328588.12</v>
      </c>
      <c r="F105" s="32"/>
      <c r="G105" s="32"/>
      <c r="H105" s="34"/>
      <c r="I105" s="35"/>
      <c r="J105" s="36" t="str">
        <f t="shared" si="1"/>
        <v>-</v>
      </c>
      <c r="K105" s="36" t="str">
        <f t="shared" si="1"/>
        <v>-</v>
      </c>
    </row>
    <row r="106" spans="2:11">
      <c r="B106" s="60"/>
      <c r="C106" s="37" t="s">
        <v>73</v>
      </c>
      <c r="D106" s="32">
        <v>385</v>
      </c>
      <c r="E106" s="33">
        <v>105629.72</v>
      </c>
      <c r="F106" s="32"/>
      <c r="G106" s="32"/>
      <c r="H106" s="34"/>
      <c r="I106" s="35"/>
      <c r="J106" s="36" t="str">
        <f t="shared" si="1"/>
        <v>-</v>
      </c>
      <c r="K106" s="36" t="str">
        <f t="shared" si="1"/>
        <v>-</v>
      </c>
    </row>
    <row r="107" spans="2:11" ht="16.5" thickBot="1">
      <c r="B107" s="61"/>
      <c r="C107" s="38" t="s">
        <v>74</v>
      </c>
      <c r="D107" s="39">
        <v>369</v>
      </c>
      <c r="E107" s="40">
        <v>82443</v>
      </c>
      <c r="F107" s="39"/>
      <c r="G107" s="39"/>
      <c r="H107" s="41"/>
      <c r="I107" s="42"/>
      <c r="J107" s="43" t="str">
        <f t="shared" si="1"/>
        <v>-</v>
      </c>
      <c r="K107" s="43" t="str">
        <f t="shared" si="1"/>
        <v>-</v>
      </c>
    </row>
    <row r="108" spans="2:11" ht="16.5" thickTop="1">
      <c r="B108" s="60">
        <v>46020</v>
      </c>
      <c r="C108" s="31" t="s">
        <v>69</v>
      </c>
      <c r="D108" s="32">
        <v>1561</v>
      </c>
      <c r="E108" s="33">
        <v>802029.56</v>
      </c>
      <c r="F108" s="32"/>
      <c r="G108" s="32"/>
      <c r="H108" s="34"/>
      <c r="I108" s="35"/>
      <c r="J108" s="36" t="str">
        <f t="shared" si="1"/>
        <v>-</v>
      </c>
      <c r="K108" s="36" t="str">
        <f t="shared" si="1"/>
        <v>-</v>
      </c>
    </row>
    <row r="109" spans="2:11">
      <c r="B109" s="60"/>
      <c r="C109" s="37" t="s">
        <v>70</v>
      </c>
      <c r="D109" s="32">
        <v>1009</v>
      </c>
      <c r="E109" s="33">
        <v>503364.33</v>
      </c>
      <c r="F109" s="32"/>
      <c r="G109" s="32"/>
      <c r="H109" s="34"/>
      <c r="I109" s="35"/>
      <c r="J109" s="36" t="str">
        <f t="shared" si="1"/>
        <v>-</v>
      </c>
      <c r="K109" s="36" t="str">
        <f t="shared" si="1"/>
        <v>-</v>
      </c>
    </row>
    <row r="110" spans="2:11">
      <c r="B110" s="60"/>
      <c r="C110" s="31" t="s">
        <v>71</v>
      </c>
      <c r="D110" s="32">
        <v>1454</v>
      </c>
      <c r="E110" s="33">
        <v>593927.69999999995</v>
      </c>
      <c r="F110" s="32"/>
      <c r="G110" s="32"/>
      <c r="H110" s="34"/>
      <c r="I110" s="35"/>
      <c r="J110" s="36" t="str">
        <f t="shared" si="1"/>
        <v>-</v>
      </c>
      <c r="K110" s="36" t="str">
        <f t="shared" si="1"/>
        <v>-</v>
      </c>
    </row>
    <row r="111" spans="2:11">
      <c r="B111" s="60"/>
      <c r="C111" s="31" t="s">
        <v>72</v>
      </c>
      <c r="D111" s="32">
        <v>1257</v>
      </c>
      <c r="E111" s="33">
        <v>420018.48</v>
      </c>
      <c r="F111" s="32"/>
      <c r="G111" s="32"/>
      <c r="H111" s="34"/>
      <c r="I111" s="35"/>
      <c r="J111" s="36" t="str">
        <f t="shared" si="1"/>
        <v>-</v>
      </c>
      <c r="K111" s="36" t="str">
        <f t="shared" si="1"/>
        <v>-</v>
      </c>
    </row>
    <row r="112" spans="2:11">
      <c r="B112" s="60"/>
      <c r="C112" s="37" t="s">
        <v>73</v>
      </c>
      <c r="D112" s="32">
        <v>521</v>
      </c>
      <c r="E112" s="33">
        <v>164075.84</v>
      </c>
      <c r="F112" s="32"/>
      <c r="G112" s="32"/>
      <c r="H112" s="34"/>
      <c r="I112" s="35"/>
      <c r="J112" s="36" t="str">
        <f t="shared" si="1"/>
        <v>-</v>
      </c>
      <c r="K112" s="36" t="str">
        <f t="shared" si="1"/>
        <v>-</v>
      </c>
    </row>
    <row r="113" spans="2:11" ht="16.5" thickBot="1">
      <c r="B113" s="61"/>
      <c r="C113" s="38" t="s">
        <v>74</v>
      </c>
      <c r="D113" s="39">
        <v>382</v>
      </c>
      <c r="E113" s="40">
        <v>85801.75</v>
      </c>
      <c r="F113" s="39"/>
      <c r="G113" s="39"/>
      <c r="H113" s="41"/>
      <c r="I113" s="42"/>
      <c r="J113" s="43" t="str">
        <f t="shared" si="1"/>
        <v>-</v>
      </c>
      <c r="K113" s="43" t="str">
        <f t="shared" si="1"/>
        <v>-</v>
      </c>
    </row>
    <row r="114" spans="2:11" ht="16.5" thickTop="1">
      <c r="B114" s="60">
        <v>46021</v>
      </c>
      <c r="C114" s="31" t="s">
        <v>69</v>
      </c>
      <c r="D114" s="32"/>
      <c r="E114" s="33"/>
      <c r="F114" s="32"/>
      <c r="G114" s="32"/>
      <c r="H114" s="34"/>
      <c r="I114" s="35"/>
      <c r="J114" s="36" t="str">
        <f t="shared" si="1"/>
        <v>-</v>
      </c>
      <c r="K114" s="36" t="str">
        <f t="shared" si="1"/>
        <v>-</v>
      </c>
    </row>
    <row r="115" spans="2:11">
      <c r="B115" s="60"/>
      <c r="C115" s="37" t="s">
        <v>70</v>
      </c>
      <c r="D115" s="32"/>
      <c r="E115" s="33"/>
      <c r="F115" s="32"/>
      <c r="G115" s="32"/>
      <c r="H115" s="34"/>
      <c r="I115" s="35"/>
      <c r="J115" s="36" t="str">
        <f t="shared" si="1"/>
        <v>-</v>
      </c>
      <c r="K115" s="36" t="str">
        <f t="shared" si="1"/>
        <v>-</v>
      </c>
    </row>
    <row r="116" spans="2:11">
      <c r="B116" s="60"/>
      <c r="C116" s="31" t="s">
        <v>71</v>
      </c>
      <c r="D116" s="32"/>
      <c r="E116" s="33"/>
      <c r="F116" s="32"/>
      <c r="G116" s="32"/>
      <c r="H116" s="34"/>
      <c r="I116" s="35"/>
      <c r="J116" s="36" t="str">
        <f t="shared" si="1"/>
        <v>-</v>
      </c>
      <c r="K116" s="36" t="str">
        <f t="shared" si="1"/>
        <v>-</v>
      </c>
    </row>
    <row r="117" spans="2:11">
      <c r="B117" s="60"/>
      <c r="C117" s="31" t="s">
        <v>72</v>
      </c>
      <c r="D117" s="32"/>
      <c r="E117" s="33"/>
      <c r="F117" s="32"/>
      <c r="G117" s="32"/>
      <c r="H117" s="34"/>
      <c r="I117" s="35"/>
      <c r="J117" s="36" t="str">
        <f t="shared" si="1"/>
        <v>-</v>
      </c>
      <c r="K117" s="36" t="str">
        <f t="shared" si="1"/>
        <v>-</v>
      </c>
    </row>
    <row r="118" spans="2:11">
      <c r="B118" s="60"/>
      <c r="C118" s="37" t="s">
        <v>73</v>
      </c>
      <c r="D118" s="32"/>
      <c r="E118" s="33"/>
      <c r="F118" s="32"/>
      <c r="G118" s="32"/>
      <c r="H118" s="34"/>
      <c r="I118" s="35"/>
      <c r="J118" s="36" t="str">
        <f t="shared" si="1"/>
        <v>-</v>
      </c>
      <c r="K118" s="36" t="str">
        <f t="shared" si="1"/>
        <v>-</v>
      </c>
    </row>
    <row r="119" spans="2:11" ht="16.5" thickBot="1">
      <c r="B119" s="61"/>
      <c r="C119" s="38" t="s">
        <v>74</v>
      </c>
      <c r="D119" s="39"/>
      <c r="E119" s="40"/>
      <c r="F119" s="39"/>
      <c r="G119" s="39"/>
      <c r="H119" s="41"/>
      <c r="I119" s="42"/>
      <c r="J119" s="43" t="str">
        <f t="shared" si="1"/>
        <v>-</v>
      </c>
      <c r="K119" s="43" t="str">
        <f t="shared" si="1"/>
        <v>-</v>
      </c>
    </row>
    <row r="120" spans="2:11" ht="16.5" thickTop="1"/>
  </sheetData>
  <mergeCells count="19">
    <mergeCell ref="B114:B119"/>
    <mergeCell ref="B78:B83"/>
    <mergeCell ref="B84:B89"/>
    <mergeCell ref="B90:B95"/>
    <mergeCell ref="B96:B101"/>
    <mergeCell ref="B102:B107"/>
    <mergeCell ref="B108:B113"/>
    <mergeCell ref="B72:B77"/>
    <mergeCell ref="B6:B11"/>
    <mergeCell ref="B12:B17"/>
    <mergeCell ref="B18:B23"/>
    <mergeCell ref="B24:B29"/>
    <mergeCell ref="B30:B35"/>
    <mergeCell ref="B36:B41"/>
    <mergeCell ref="B42:B47"/>
    <mergeCell ref="B48:B53"/>
    <mergeCell ref="B54:B59"/>
    <mergeCell ref="B60:B65"/>
    <mergeCell ref="B66:B7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2013-6604-43CE-BDFE-DE7D08C9000A}">
  <dimension ref="A1:K23"/>
  <sheetViews>
    <sheetView workbookViewId="0">
      <selection activeCell="K12" sqref="K12"/>
    </sheetView>
  </sheetViews>
  <sheetFormatPr defaultRowHeight="15" customHeight="1"/>
  <cols>
    <col min="2" max="2" width="21.140625" bestFit="1" customWidth="1"/>
    <col min="10" max="10" width="24.28515625" customWidth="1"/>
    <col min="11" max="11" width="36.7109375" customWidth="1"/>
    <col min="16384" max="16384" width="8.85546875" bestFit="1" customWidth="1"/>
  </cols>
  <sheetData>
    <row r="1" spans="1:11">
      <c r="A1" s="45"/>
      <c r="B1" s="45"/>
      <c r="C1" s="45"/>
      <c r="D1" s="46"/>
      <c r="E1" s="45"/>
      <c r="F1" s="45"/>
      <c r="G1" s="45"/>
      <c r="H1" s="45"/>
      <c r="I1" s="45"/>
      <c r="J1" s="45"/>
      <c r="K1" s="45"/>
    </row>
    <row r="2" spans="1:11">
      <c r="A2" s="45"/>
      <c r="B2" s="45"/>
      <c r="C2" s="45"/>
      <c r="D2" s="46"/>
      <c r="E2" s="45"/>
      <c r="F2" s="45"/>
      <c r="G2" s="45"/>
      <c r="H2" s="45"/>
      <c r="I2" s="45"/>
      <c r="J2" s="45"/>
      <c r="K2" s="45"/>
    </row>
    <row r="3" spans="1:11">
      <c r="A3" s="45"/>
      <c r="B3" s="45"/>
      <c r="C3" s="45"/>
      <c r="F3" s="45"/>
      <c r="G3" s="45"/>
      <c r="H3" s="45"/>
      <c r="I3" s="45"/>
      <c r="J3" s="50" t="s">
        <v>75</v>
      </c>
      <c r="K3" s="47" t="s">
        <v>76</v>
      </c>
    </row>
    <row r="4" spans="1:11">
      <c r="A4" s="45"/>
      <c r="B4" s="45"/>
      <c r="C4" s="45"/>
      <c r="D4" s="46"/>
      <c r="E4" s="45"/>
      <c r="F4" s="45"/>
      <c r="G4" s="45"/>
      <c r="H4" s="45"/>
      <c r="I4" s="45"/>
      <c r="J4" s="45"/>
      <c r="K4" s="45"/>
    </row>
    <row r="5" spans="1:11">
      <c r="A5" s="45"/>
      <c r="B5" s="45"/>
      <c r="C5" s="45"/>
      <c r="D5" s="46"/>
      <c r="E5" s="45"/>
      <c r="F5" s="45"/>
      <c r="G5" s="45"/>
      <c r="H5" s="45"/>
      <c r="I5" s="45"/>
      <c r="J5" s="51" t="s">
        <v>77</v>
      </c>
      <c r="K5" s="51" t="s">
        <v>78</v>
      </c>
    </row>
    <row r="6" spans="1:11">
      <c r="A6" s="45"/>
      <c r="B6" s="45"/>
      <c r="C6" s="45"/>
      <c r="D6" s="46"/>
      <c r="E6" s="45"/>
      <c r="F6" s="45"/>
      <c r="G6" s="45"/>
      <c r="H6" s="45"/>
      <c r="I6" s="45"/>
      <c r="J6" s="53" t="s">
        <v>79</v>
      </c>
      <c r="K6" s="56">
        <v>148</v>
      </c>
    </row>
    <row r="7" spans="1:11">
      <c r="A7" s="45"/>
      <c r="B7" s="45"/>
      <c r="C7" s="45"/>
      <c r="D7" s="46"/>
      <c r="E7" s="45"/>
      <c r="F7" s="45"/>
      <c r="G7" s="45"/>
      <c r="H7" s="45"/>
      <c r="I7" s="45"/>
      <c r="J7" s="54" t="s">
        <v>80</v>
      </c>
      <c r="K7" s="57">
        <v>393</v>
      </c>
    </row>
    <row r="8" spans="1:11">
      <c r="A8" s="45"/>
      <c r="B8" s="45"/>
      <c r="C8" s="45"/>
      <c r="D8" s="46"/>
      <c r="E8" s="45"/>
      <c r="F8" s="45"/>
      <c r="G8" s="45"/>
      <c r="H8" s="45"/>
      <c r="I8" s="45"/>
      <c r="J8" s="54" t="s">
        <v>81</v>
      </c>
      <c r="K8" s="57">
        <v>26</v>
      </c>
    </row>
    <row r="9" spans="1:11">
      <c r="A9" s="45"/>
      <c r="B9" s="45"/>
      <c r="C9" s="45"/>
      <c r="D9" s="46"/>
      <c r="E9" s="45"/>
      <c r="F9" s="45"/>
      <c r="G9" s="45"/>
      <c r="H9" s="45"/>
      <c r="I9" s="45"/>
      <c r="J9" s="54" t="s">
        <v>82</v>
      </c>
      <c r="K9" s="57">
        <v>318</v>
      </c>
    </row>
    <row r="10" spans="1:11">
      <c r="A10" s="45"/>
      <c r="B10" s="45"/>
      <c r="C10" s="45"/>
      <c r="D10" s="46"/>
      <c r="E10" s="45"/>
      <c r="F10" s="45"/>
      <c r="G10" s="45"/>
      <c r="H10" s="45"/>
      <c r="I10" s="45"/>
      <c r="J10" s="54" t="s">
        <v>83</v>
      </c>
      <c r="K10" s="57">
        <v>1262</v>
      </c>
    </row>
    <row r="11" spans="1:11">
      <c r="A11" s="45"/>
      <c r="B11" s="45"/>
      <c r="C11" s="45"/>
      <c r="D11" s="46"/>
      <c r="E11" s="45"/>
      <c r="F11" s="45"/>
      <c r="G11" s="45"/>
      <c r="H11" s="45"/>
      <c r="I11" s="45"/>
      <c r="J11" s="55" t="s">
        <v>84</v>
      </c>
      <c r="K11" s="57">
        <v>3</v>
      </c>
    </row>
    <row r="12" spans="1:11">
      <c r="A12" s="45"/>
      <c r="B12" s="45"/>
      <c r="C12" s="45"/>
      <c r="D12" s="46"/>
      <c r="E12" s="45"/>
      <c r="F12" s="45"/>
      <c r="G12" s="45"/>
      <c r="H12" s="45"/>
      <c r="I12" s="45"/>
      <c r="J12" s="52" t="s">
        <v>85</v>
      </c>
      <c r="K12" s="58">
        <v>2150</v>
      </c>
    </row>
    <row r="13" spans="1:11">
      <c r="A13" s="45"/>
      <c r="B13" s="45"/>
      <c r="C13" s="45"/>
      <c r="D13" s="6"/>
      <c r="E13" s="45"/>
      <c r="F13" s="45"/>
      <c r="G13" s="45"/>
      <c r="H13" s="45"/>
      <c r="I13" s="45"/>
      <c r="J13" s="45"/>
      <c r="K13" s="45"/>
    </row>
    <row r="14" spans="1:11">
      <c r="A14" s="45"/>
      <c r="B14" s="45"/>
      <c r="C14" s="45"/>
      <c r="D14" s="46"/>
      <c r="E14" s="45"/>
      <c r="F14" s="45"/>
      <c r="G14" s="45"/>
      <c r="H14" s="45"/>
      <c r="I14" s="45"/>
      <c r="J14" s="45"/>
      <c r="K14" s="45"/>
    </row>
    <row r="15" spans="1:11">
      <c r="A15" s="45"/>
      <c r="B15" s="45"/>
      <c r="C15" s="45"/>
      <c r="D15" s="46"/>
      <c r="E15" s="45"/>
      <c r="F15" s="45"/>
      <c r="G15" s="45"/>
      <c r="H15" s="45"/>
      <c r="I15" s="45"/>
      <c r="J15" s="45"/>
      <c r="K15" s="45"/>
    </row>
    <row r="16" spans="1:11">
      <c r="A16" s="45"/>
      <c r="B16" s="45"/>
      <c r="C16" s="45"/>
      <c r="D16" s="46"/>
      <c r="E16" s="45"/>
      <c r="F16" s="45"/>
      <c r="G16" s="45"/>
      <c r="H16" s="45"/>
      <c r="I16" s="45"/>
      <c r="J16" s="45"/>
      <c r="K16" s="45"/>
    </row>
    <row r="17" spans="1:11" ht="17.25">
      <c r="A17" s="45"/>
      <c r="B17" s="48" t="s">
        <v>86</v>
      </c>
      <c r="C17" s="49"/>
      <c r="D17" s="46"/>
      <c r="E17" s="45"/>
      <c r="F17" s="45"/>
      <c r="G17" s="45"/>
      <c r="H17" s="45"/>
      <c r="I17" s="45"/>
      <c r="J17" s="45"/>
      <c r="K17" s="45"/>
    </row>
    <row r="18" spans="1:11">
      <c r="A18" s="45"/>
      <c r="B18" s="62" t="str">
        <f>IF($J$12="total geral","",$J$6)</f>
        <v/>
      </c>
      <c r="C18" s="49"/>
      <c r="D18" s="46"/>
      <c r="E18" s="45"/>
      <c r="F18" s="45"/>
      <c r="G18" s="45"/>
      <c r="H18" s="45"/>
      <c r="I18" s="45"/>
      <c r="J18" s="45"/>
      <c r="K18" s="45"/>
    </row>
    <row r="19" spans="1:11">
      <c r="B19" s="62"/>
      <c r="C19" s="49"/>
      <c r="D19" s="46"/>
      <c r="E19" s="45"/>
      <c r="F19" s="45"/>
      <c r="G19" s="45"/>
      <c r="H19" s="45"/>
      <c r="I19" s="45"/>
      <c r="J19" s="45"/>
      <c r="K19" s="45"/>
    </row>
    <row r="20" spans="1:11">
      <c r="B20" s="63"/>
      <c r="C20" s="49"/>
      <c r="D20" s="46"/>
      <c r="E20" s="45"/>
      <c r="F20" s="45"/>
      <c r="G20" s="45"/>
      <c r="H20" s="45"/>
      <c r="I20" s="45"/>
      <c r="J20" s="45"/>
      <c r="K20" s="45"/>
    </row>
    <row r="21" spans="1:11">
      <c r="B21" s="63"/>
      <c r="C21" s="49"/>
      <c r="D21" s="46"/>
      <c r="E21" s="45"/>
      <c r="F21" s="45"/>
      <c r="G21" s="45"/>
      <c r="H21" s="45"/>
      <c r="I21" s="45"/>
      <c r="J21" s="45"/>
      <c r="K21" s="45"/>
    </row>
    <row r="22" spans="1:11">
      <c r="B22" s="45"/>
      <c r="C22" s="49"/>
      <c r="D22" s="46"/>
      <c r="E22" s="45"/>
      <c r="F22" s="45"/>
      <c r="G22" s="45"/>
      <c r="H22" s="45"/>
      <c r="I22" s="45"/>
      <c r="J22" s="45"/>
      <c r="K22" s="45"/>
    </row>
    <row r="23" spans="1:11">
      <c r="B23" s="45"/>
      <c r="D23" s="46"/>
      <c r="E23" s="45"/>
      <c r="F23" s="45"/>
      <c r="G23" s="45"/>
      <c r="H23" s="45"/>
      <c r="I23" s="45"/>
      <c r="J23" s="45"/>
      <c r="K23" s="45"/>
    </row>
  </sheetData>
  <mergeCells count="2">
    <mergeCell ref="B18:B19"/>
    <mergeCell ref="B20:B2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A9E3C59A52A4F8F24A7E3B1B5BABD" ma:contentTypeVersion="10" ma:contentTypeDescription="Crie um novo documento." ma:contentTypeScope="" ma:versionID="0bdb8b778efff0ce8d5bf614d44203cd">
  <xsd:schema xmlns:xsd="http://www.w3.org/2001/XMLSchema" xmlns:xs="http://www.w3.org/2001/XMLSchema" xmlns:p="http://schemas.microsoft.com/office/2006/metadata/properties" xmlns:ns3="8bf9da6f-dc21-4cb2-a3f7-dd8bcf95d57f" targetNamespace="http://schemas.microsoft.com/office/2006/metadata/properties" ma:root="true" ma:fieldsID="0f077224926b8ef072d3380b9e236296" ns3:_="">
    <xsd:import namespace="8bf9da6f-dc21-4cb2-a3f7-dd8bcf95d57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9da6f-dc21-4cb2-a3f7-dd8bcf95d57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f9da6f-dc21-4cb2-a3f7-dd8bcf95d5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FADBD-1B32-4E11-B316-E2F1B3603562}"/>
</file>

<file path=customXml/itemProps2.xml><?xml version="1.0" encoding="utf-8"?>
<ds:datastoreItem xmlns:ds="http://schemas.openxmlformats.org/officeDocument/2006/customXml" ds:itemID="{8D3A9415-1FBE-46D8-88D7-54FAC56372C1}"/>
</file>

<file path=customXml/itemProps3.xml><?xml version="1.0" encoding="utf-8"?>
<ds:datastoreItem xmlns:ds="http://schemas.openxmlformats.org/officeDocument/2006/customXml" ds:itemID="{73BEDA13-281E-4F59-9A84-4D56C906C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Ribeiro</dc:creator>
  <cp:keywords/>
  <dc:description/>
  <cp:lastModifiedBy>Claudineia Miranda</cp:lastModifiedBy>
  <cp:revision/>
  <dcterms:created xsi:type="dcterms:W3CDTF">2015-06-05T18:19:34Z</dcterms:created>
  <dcterms:modified xsi:type="dcterms:W3CDTF">2026-04-24T14:57:30Z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0x010100F35A9E3C59A52A4F8F24A7E3B1B5BABD</vt:lpwstr>
  </property>
</Properties>
</file>